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2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asta\workspace\EmbASPJavaBenchmark\rsc\data\"/>
    </mc:Choice>
  </mc:AlternateContent>
  <bookViews>
    <workbookView xWindow="0" yWindow="0" windowWidth="24000" windowHeight="9510"/>
  </bookViews>
  <sheets>
    <sheet name="refined_data" sheetId="1" r:id="rId1"/>
    <sheet name="blocksworld" sheetId="6" r:id="rId2"/>
    <sheet name="depots" sheetId="7" r:id="rId3"/>
    <sheet name="gripper" sheetId="8" r:id="rId4"/>
    <sheet name="logistics" sheetId="9" r:id="rId5"/>
  </sheets>
  <definedNames>
    <definedName name="blocksworld" localSheetId="1">blocksworld!$A$1:$L$71</definedName>
    <definedName name="depots" localSheetId="2">depots!$A$1:$L$45</definedName>
    <definedName name="gripper" localSheetId="3">gripper!$A$1:$L$41</definedName>
    <definedName name="logistics" localSheetId="4">logistics!$A$1:$L$57</definedName>
  </definedName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07" i="1" l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E107" i="1" l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107" i="1" l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</calcChain>
</file>

<file path=xl/connections.xml><?xml version="1.0" encoding="utf-8"?>
<connections xmlns="http://schemas.openxmlformats.org/spreadsheetml/2006/main">
  <connection id="1" name="blocksworld" type="6" refreshedVersion="6" background="1" saveData="1">
    <textPr codePage="1251" sourceFile="C:\Users\Grasta\workspace\EmbASPJavaBenchmark\rsc\data\mappers\blocksworld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name="depots" type="6" refreshedVersion="6" background="1" saveData="1">
    <textPr codePage="1251" sourceFile="C:\Users\Grasta\workspace\EmbASPJavaBenchmark\rsc\data\mappers\depots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name="gripper" type="6" refreshedVersion="6" background="1" saveData="1">
    <textPr codePage="1251" sourceFile="C:\Users\Grasta\workspace\EmbASPJavaBenchmark\rsc\data\mappers\gripper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name="logistics" type="6" refreshedVersion="6" background="1" saveData="1">
    <textPr codePage="1251" sourceFile="C:\Users\Grasta\workspace\EmbASPJavaBenchmark\rsc\data\mappers\logistics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<sst xmlns="http://schemas.openxmlformats.org/spreadsheetml/2006/main" count="531" uniqueCount="146">
  <si>
    <t>PDDL Mapper</t>
  </si>
  <si>
    <t>NEW</t>
  </si>
  <si>
    <t>OLD</t>
  </si>
  <si>
    <t>0001.out</t>
  </si>
  <si>
    <t>0002.out</t>
  </si>
  <si>
    <t>0003.out</t>
  </si>
  <si>
    <t>0004.out</t>
  </si>
  <si>
    <t>0005.out</t>
  </si>
  <si>
    <t>0006.out</t>
  </si>
  <si>
    <t>0007.out</t>
  </si>
  <si>
    <t>0008.out</t>
  </si>
  <si>
    <t>0009.out</t>
  </si>
  <si>
    <t>0010.out</t>
  </si>
  <si>
    <t>0011.out</t>
  </si>
  <si>
    <t>0012.out</t>
  </si>
  <si>
    <t>0013.out</t>
  </si>
  <si>
    <t>0014.out</t>
  </si>
  <si>
    <t>0015.out</t>
  </si>
  <si>
    <t>0016.out</t>
  </si>
  <si>
    <t>0017.out</t>
  </si>
  <si>
    <t>0018.out</t>
  </si>
  <si>
    <t>0019.out</t>
  </si>
  <si>
    <t>0020.out</t>
  </si>
  <si>
    <t>0021.out</t>
  </si>
  <si>
    <t>0022.out</t>
  </si>
  <si>
    <t>0023.out</t>
  </si>
  <si>
    <t>0024.out</t>
  </si>
  <si>
    <t>0025.out</t>
  </si>
  <si>
    <t>0026.out</t>
  </si>
  <si>
    <t>0027.out</t>
  </si>
  <si>
    <t>0028.out</t>
  </si>
  <si>
    <t>blocksworld 0001.out</t>
  </si>
  <si>
    <t>blocksworld 0002.out</t>
  </si>
  <si>
    <t>blocksworld 0003.out</t>
  </si>
  <si>
    <t>blocksworld 0004.out</t>
  </si>
  <si>
    <t>blocksworld 0005.out</t>
  </si>
  <si>
    <t>blocksworld 0006.out</t>
  </si>
  <si>
    <t>blocksworld 0007.out</t>
  </si>
  <si>
    <t>blocksworld 0008.out</t>
  </si>
  <si>
    <t>blocksworld 0009.out</t>
  </si>
  <si>
    <t>blocksworld 0010.out</t>
  </si>
  <si>
    <t>blocksworld 0011.out</t>
  </si>
  <si>
    <t>blocksworld 0012.out</t>
  </si>
  <si>
    <t>blocksworld 0013.out</t>
  </si>
  <si>
    <t>blocksworld 0014.out</t>
  </si>
  <si>
    <t>blocksworld 0015.out</t>
  </si>
  <si>
    <t>blocksworld 0016.out</t>
  </si>
  <si>
    <t>blocksworld 0017.out</t>
  </si>
  <si>
    <t>blocksworld 0018.out</t>
  </si>
  <si>
    <t>blocksworld 0019.out</t>
  </si>
  <si>
    <t>blocksworld 0020.out</t>
  </si>
  <si>
    <t>blocksworld 0021.out</t>
  </si>
  <si>
    <t>blocksworld 0022.out</t>
  </si>
  <si>
    <t>blocksworld 0023.out</t>
  </si>
  <si>
    <t>blocksworld 0024.out</t>
  </si>
  <si>
    <t>blocksworld 0025.out</t>
  </si>
  <si>
    <t>blocksworld 0026.out</t>
  </si>
  <si>
    <t>blocksworld 0027.out</t>
  </si>
  <si>
    <t>blocksworld 0028.out</t>
  </si>
  <si>
    <t>blocksworld 0029.out</t>
  </si>
  <si>
    <t>blocksworld 0030.out</t>
  </si>
  <si>
    <t>blocksworld 0031.out</t>
  </si>
  <si>
    <t>blocksworld 0032.out</t>
  </si>
  <si>
    <t>blocksworld 0033.out</t>
  </si>
  <si>
    <t>blocksworld 0034.out</t>
  </si>
  <si>
    <t>blocksworld 0035.out</t>
  </si>
  <si>
    <t>depots 0001.out</t>
  </si>
  <si>
    <t>depots 0002.out</t>
  </si>
  <si>
    <t>depots 0003.out</t>
  </si>
  <si>
    <t>depots 0004.out</t>
  </si>
  <si>
    <t>depots 0005.out</t>
  </si>
  <si>
    <t>depots 0006.out</t>
  </si>
  <si>
    <t>depots 0007.out</t>
  </si>
  <si>
    <t>depots 0008.out</t>
  </si>
  <si>
    <t>depots 0009.out</t>
  </si>
  <si>
    <t>depots 0010.out</t>
  </si>
  <si>
    <t>depots 0011.out</t>
  </si>
  <si>
    <t>depots 0012.out</t>
  </si>
  <si>
    <t>depots 0013.out</t>
  </si>
  <si>
    <t>depots 0014.out</t>
  </si>
  <si>
    <t>depots 0015.out</t>
  </si>
  <si>
    <t>depots 0016.out</t>
  </si>
  <si>
    <t>depots 0017.out</t>
  </si>
  <si>
    <t>depots 0018.out</t>
  </si>
  <si>
    <t>depots 0019.out</t>
  </si>
  <si>
    <t>depots 0020.out</t>
  </si>
  <si>
    <t>depots 0021.out</t>
  </si>
  <si>
    <t>depots 0022.out</t>
  </si>
  <si>
    <t>gripper 0001.out</t>
  </si>
  <si>
    <t>gripper 0002.out</t>
  </si>
  <si>
    <t>gripper 0003.out</t>
  </si>
  <si>
    <t>gripper 0004.out</t>
  </si>
  <si>
    <t>gripper 0005.out</t>
  </si>
  <si>
    <t>gripper 0006.out</t>
  </si>
  <si>
    <t>gripper 0007.out</t>
  </si>
  <si>
    <t>gripper 0008.out</t>
  </si>
  <si>
    <t>gripper 0009.out</t>
  </si>
  <si>
    <t>gripper 0010.out</t>
  </si>
  <si>
    <t>gripper 0011.out</t>
  </si>
  <si>
    <t>gripper 0012.out</t>
  </si>
  <si>
    <t>gripper 0013.out</t>
  </si>
  <si>
    <t>gripper 0014.out</t>
  </si>
  <si>
    <t>gripper 0015.out</t>
  </si>
  <si>
    <t>gripper 0016.out</t>
  </si>
  <si>
    <t>gripper 0017.out</t>
  </si>
  <si>
    <t>gripper 0018.out</t>
  </si>
  <si>
    <t>gripper 0019.out</t>
  </si>
  <si>
    <t>gripper 0020.out</t>
  </si>
  <si>
    <t>logistics 0001.out</t>
  </si>
  <si>
    <t>logistics 0002.out</t>
  </si>
  <si>
    <t>logistics 0003.out</t>
  </si>
  <si>
    <t>logistics 0004.out</t>
  </si>
  <si>
    <t>logistics 0005.out</t>
  </si>
  <si>
    <t>logistics 0006.out</t>
  </si>
  <si>
    <t>logistics 0007.out</t>
  </si>
  <si>
    <t>logistics 0008.out</t>
  </si>
  <si>
    <t>logistics 0009.out</t>
  </si>
  <si>
    <t>logistics 0010.out</t>
  </si>
  <si>
    <t>logistics 0011.out</t>
  </si>
  <si>
    <t>logistics 0012.out</t>
  </si>
  <si>
    <t>logistics 0013.out</t>
  </si>
  <si>
    <t>logistics 0014.out</t>
  </si>
  <si>
    <t>logistics 0015.out</t>
  </si>
  <si>
    <t>logistics 0016.out</t>
  </si>
  <si>
    <t>logistics 0017.out</t>
  </si>
  <si>
    <t>logistics 0018.out</t>
  </si>
  <si>
    <t>logistics 0019.out</t>
  </si>
  <si>
    <t>logistics 0020.out</t>
  </si>
  <si>
    <t>logistics 0021.out</t>
  </si>
  <si>
    <t>logistics 0022.out</t>
  </si>
  <si>
    <t>logistics 0023.out</t>
  </si>
  <si>
    <t>logistics 0024.out</t>
  </si>
  <si>
    <t>logistics 0025.out</t>
  </si>
  <si>
    <t>logistics 0026.out</t>
  </si>
  <si>
    <t>logistics 0027.out</t>
  </si>
  <si>
    <t>logistics 0028.out</t>
  </si>
  <si>
    <t>0029.out</t>
  </si>
  <si>
    <t>0030.out</t>
  </si>
  <si>
    <t>0031.out</t>
  </si>
  <si>
    <t>0032.out</t>
  </si>
  <si>
    <t>0033.out</t>
  </si>
  <si>
    <t>0034.out</t>
  </si>
  <si>
    <t>0035.out</t>
  </si>
  <si>
    <t>%-</t>
  </si>
  <si>
    <t>Sorted values %-</t>
  </si>
  <si>
    <t>Sorted values %-2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</si>
</sst>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1" fontId="0" fillId="0" borderId="0" xfId="0" applyNumberForma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1" fontId="0" fillId="0" borderId="1" xfId="0" applyNumberFormat="1" applyBorder="1" applyAlignment="1">
      <alignment horizontal="center"/>
    </xf>
    <xf numFmtId="11" fontId="0" fillId="0" borderId="2" xfId="0" applyNumberFormat="1" applyBorder="1" applyAlignment="1">
      <alignment horizontal="center"/>
    </xf>
    <xf numFmtId="11" fontId="0" fillId="0" borderId="5" xfId="0" applyNumberFormat="1" applyBorder="1" applyAlignment="1">
      <alignment horizontal="center"/>
    </xf>
    <xf numFmtId="11" fontId="0" fillId="0" borderId="6" xfId="0" applyNumberFormat="1" applyBorder="1" applyAlignment="1">
      <alignment horizontal="center"/>
    </xf>
    <xf numFmtId="11" fontId="0" fillId="0" borderId="3" xfId="0" applyNumberFormat="1" applyBorder="1" applyAlignment="1">
      <alignment horizontal="center"/>
    </xf>
    <xf numFmtId="11" fontId="0" fillId="0" borderId="4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9" xfId="0" applyNumberFormat="1" applyBorder="1" applyAlignment="1">
      <alignment horizontal="center"/>
    </xf>
    <xf numFmtId="10" fontId="0" fillId="0" borderId="8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10" fontId="0" fillId="0" borderId="6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9" fontId="0" fillId="0" borderId="9" xfId="0" applyNumberFormat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Cactus</a:t>
            </a:r>
            <a:r>
              <a:rPr lang="it-IT" baseline="0"/>
              <a:t> plot - PDDL Mapper parser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refined_data!$K$3:$K$107</c:f>
              <c:numCache>
                <c:formatCode>0.00%</c:formatCode>
                <c:ptCount val="105"/>
                <c:pt idx="0">
                  <c:v>2.8318578754671409</c:v>
                </c:pt>
                <c:pt idx="1">
                  <c:v>4.5775959246277891</c:v>
                </c:pt>
                <c:pt idx="2">
                  <c:v>4.6351330371644215</c:v>
                </c:pt>
                <c:pt idx="3">
                  <c:v>4.7255686153290224</c:v>
                </c:pt>
                <c:pt idx="4">
                  <c:v>4.753100004671416</c:v>
                </c:pt>
                <c:pt idx="5">
                  <c:v>4.8010931291562304</c:v>
                </c:pt>
                <c:pt idx="6">
                  <c:v>5.0272914859021958</c:v>
                </c:pt>
                <c:pt idx="7">
                  <c:v>5.0668619138318274</c:v>
                </c:pt>
                <c:pt idx="8">
                  <c:v>5.1572234899560918</c:v>
                </c:pt>
                <c:pt idx="9">
                  <c:v>5.1576081745586038</c:v>
                </c:pt>
                <c:pt idx="10">
                  <c:v>5.2868193442717173</c:v>
                </c:pt>
                <c:pt idx="11">
                  <c:v>5.3218931942117971</c:v>
                </c:pt>
                <c:pt idx="12">
                  <c:v>5.387447496855744</c:v>
                </c:pt>
                <c:pt idx="13">
                  <c:v>5.5775711453603654</c:v>
                </c:pt>
                <c:pt idx="14">
                  <c:v>5.5913499886052866</c:v>
                </c:pt>
                <c:pt idx="15">
                  <c:v>5.6339513148925473</c:v>
                </c:pt>
                <c:pt idx="16">
                  <c:v>5.7267878293265229</c:v>
                </c:pt>
                <c:pt idx="17">
                  <c:v>5.7412234873374777</c:v>
                </c:pt>
                <c:pt idx="18">
                  <c:v>5.7727875134725144</c:v>
                </c:pt>
                <c:pt idx="19">
                  <c:v>5.8288380219651135</c:v>
                </c:pt>
                <c:pt idx="20">
                  <c:v>5.8500017863613865</c:v>
                </c:pt>
                <c:pt idx="21">
                  <c:v>5.9172951548756254</c:v>
                </c:pt>
                <c:pt idx="22">
                  <c:v>5.9312362334801767</c:v>
                </c:pt>
                <c:pt idx="23">
                  <c:v>5.9785056827045864</c:v>
                </c:pt>
                <c:pt idx="24">
                  <c:v>6.022444408894577</c:v>
                </c:pt>
                <c:pt idx="25">
                  <c:v>6.0449695243884882</c:v>
                </c:pt>
                <c:pt idx="26">
                  <c:v>6.1408940965899017</c:v>
                </c:pt>
                <c:pt idx="27">
                  <c:v>6.1531513112651712</c:v>
                </c:pt>
                <c:pt idx="28">
                  <c:v>6.1827333788525989</c:v>
                </c:pt>
                <c:pt idx="29">
                  <c:v>6.2172888715388348</c:v>
                </c:pt>
                <c:pt idx="30">
                  <c:v>6.2218264457481789</c:v>
                </c:pt>
                <c:pt idx="31">
                  <c:v>6.258473136932226</c:v>
                </c:pt>
                <c:pt idx="32">
                  <c:v>6.2825427647231269</c:v>
                </c:pt>
                <c:pt idx="33">
                  <c:v>6.3097582100324763</c:v>
                </c:pt>
                <c:pt idx="34">
                  <c:v>6.3250120971644268</c:v>
                </c:pt>
                <c:pt idx="35">
                  <c:v>6.3392807774918669</c:v>
                </c:pt>
                <c:pt idx="36">
                  <c:v>6.3902930895401999</c:v>
                </c:pt>
                <c:pt idx="37">
                  <c:v>6.4417576370314427</c:v>
                </c:pt>
                <c:pt idx="38">
                  <c:v>6.617344703853858</c:v>
                </c:pt>
                <c:pt idx="39">
                  <c:v>6.6543300459656018</c:v>
                </c:pt>
                <c:pt idx="40">
                  <c:v>6.7229798137616381</c:v>
                </c:pt>
                <c:pt idx="41">
                  <c:v>6.7347110877767582</c:v>
                </c:pt>
                <c:pt idx="42">
                  <c:v>6.7386647304913057</c:v>
                </c:pt>
                <c:pt idx="43">
                  <c:v>6.7772703936880214</c:v>
                </c:pt>
                <c:pt idx="44">
                  <c:v>6.8057638037684249</c:v>
                </c:pt>
                <c:pt idx="45">
                  <c:v>6.8237138324393749</c:v>
                </c:pt>
                <c:pt idx="46">
                  <c:v>6.8599034322402268</c:v>
                </c:pt>
                <c:pt idx="47">
                  <c:v>6.9250985701391867</c:v>
                </c:pt>
                <c:pt idx="48">
                  <c:v>6.9833586601571342</c:v>
                </c:pt>
                <c:pt idx="49">
                  <c:v>6.9911346668072349</c:v>
                </c:pt>
                <c:pt idx="50">
                  <c:v>7.0357424336748613</c:v>
                </c:pt>
                <c:pt idx="51">
                  <c:v>7.1580412314759112</c:v>
                </c:pt>
                <c:pt idx="52">
                  <c:v>7.1910737511440832</c:v>
                </c:pt>
                <c:pt idx="53">
                  <c:v>7.2251800049876129</c:v>
                </c:pt>
                <c:pt idx="54">
                  <c:v>7.3611919758640774</c:v>
                </c:pt>
                <c:pt idx="55">
                  <c:v>7.5161117821152299</c:v>
                </c:pt>
                <c:pt idx="56">
                  <c:v>7.5665330250797442</c:v>
                </c:pt>
                <c:pt idx="57">
                  <c:v>7.7130431966841551</c:v>
                </c:pt>
                <c:pt idx="58">
                  <c:v>7.7640259226356596</c:v>
                </c:pt>
                <c:pt idx="59">
                  <c:v>7.8171803498699894</c:v>
                </c:pt>
                <c:pt idx="60">
                  <c:v>8.0029101106091307</c:v>
                </c:pt>
                <c:pt idx="61">
                  <c:v>8.0604754893469579</c:v>
                </c:pt>
                <c:pt idx="62">
                  <c:v>8.2740863043599955</c:v>
                </c:pt>
                <c:pt idx="63">
                  <c:v>8.3353819854287909</c:v>
                </c:pt>
                <c:pt idx="64">
                  <c:v>8.3607071403352471</c:v>
                </c:pt>
                <c:pt idx="65">
                  <c:v>8.3902314761410359</c:v>
                </c:pt>
                <c:pt idx="66">
                  <c:v>8.4429937275439961</c:v>
                </c:pt>
                <c:pt idx="67">
                  <c:v>8.5218828152911748</c:v>
                </c:pt>
                <c:pt idx="68">
                  <c:v>8.582215330942919</c:v>
                </c:pt>
                <c:pt idx="69">
                  <c:v>8.7461494289158868</c:v>
                </c:pt>
                <c:pt idx="70">
                  <c:v>8.7868232503426871</c:v>
                </c:pt>
                <c:pt idx="71">
                  <c:v>8.7999186527130409</c:v>
                </c:pt>
                <c:pt idx="72">
                  <c:v>8.883702977940084</c:v>
                </c:pt>
                <c:pt idx="73">
                  <c:v>9.0164341472999752</c:v>
                </c:pt>
                <c:pt idx="74">
                  <c:v>9.0638529557647249</c:v>
                </c:pt>
                <c:pt idx="75">
                  <c:v>9.1064020059969479</c:v>
                </c:pt>
                <c:pt idx="76">
                  <c:v>9.1893188895456017</c:v>
                </c:pt>
                <c:pt idx="77">
                  <c:v>9.2940197380588092</c:v>
                </c:pt>
                <c:pt idx="78">
                  <c:v>9.3334751097349358</c:v>
                </c:pt>
                <c:pt idx="79">
                  <c:v>9.4715223477169612</c:v>
                </c:pt>
                <c:pt idx="80">
                  <c:v>9.6579219192536225</c:v>
                </c:pt>
                <c:pt idx="81">
                  <c:v>9.7101569684477536</c:v>
                </c:pt>
                <c:pt idx="82">
                  <c:v>9.7294644748812953</c:v>
                </c:pt>
                <c:pt idx="83">
                  <c:v>9.9531994283899667</c:v>
                </c:pt>
                <c:pt idx="84">
                  <c:v>10.627887872694982</c:v>
                </c:pt>
                <c:pt idx="85">
                  <c:v>10.962483509234831</c:v>
                </c:pt>
                <c:pt idx="86">
                  <c:v>11.370591894349012</c:v>
                </c:pt>
                <c:pt idx="87">
                  <c:v>11.382524172322199</c:v>
                </c:pt>
                <c:pt idx="88">
                  <c:v>12.115025368707306</c:v>
                </c:pt>
                <c:pt idx="89">
                  <c:v>12.324356014803417</c:v>
                </c:pt>
                <c:pt idx="90">
                  <c:v>12.81082940771714</c:v>
                </c:pt>
                <c:pt idx="91">
                  <c:v>13.135745697704772</c:v>
                </c:pt>
                <c:pt idx="92">
                  <c:v>13.791882480957563</c:v>
                </c:pt>
                <c:pt idx="93">
                  <c:v>14.422782020821312</c:v>
                </c:pt>
                <c:pt idx="94">
                  <c:v>14.812517751970807</c:v>
                </c:pt>
                <c:pt idx="95">
                  <c:v>14.815040679165195</c:v>
                </c:pt>
                <c:pt idx="96">
                  <c:v>15.368887903315223</c:v>
                </c:pt>
                <c:pt idx="97">
                  <c:v>17.263236390753164</c:v>
                </c:pt>
                <c:pt idx="98">
                  <c:v>18.271527143007372</c:v>
                </c:pt>
                <c:pt idx="99">
                  <c:v>18.80914824190457</c:v>
                </c:pt>
                <c:pt idx="100">
                  <c:v>19.766812529716578</c:v>
                </c:pt>
                <c:pt idx="101">
                  <c:v>20.043762496631004</c:v>
                </c:pt>
                <c:pt idx="102">
                  <c:v>21.62683504604297</c:v>
                </c:pt>
                <c:pt idx="103">
                  <c:v>61.076220722508928</c:v>
                </c:pt>
                <c:pt idx="104">
                  <c:v>110.02459523066891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F5-4248-AA71-1F00A6248C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4631896"/>
        <c:axId val="394632224"/>
      </c:scatterChart>
      <c:valAx>
        <c:axId val="394631896"/>
        <c:scaling>
          <c:orientation val="minMax"/>
          <c:max val="10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94632224"/>
        <c:crosses val="autoZero"/>
        <c:crossBetween val="midCat"/>
        <c:majorUnit val="2"/>
      </c:valAx>
      <c:valAx>
        <c:axId val="394632224"/>
        <c:scaling>
          <c:orientation val="minMax"/>
          <c:max val="1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9463189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771524</xdr:colOff>
      <xdr:row>82</xdr:row>
      <xdr:rowOff>9525</xdr:rowOff>
    </xdr:from>
    <xdr:to>
      <xdr:col>37</xdr:col>
      <xdr:colOff>257174</xdr:colOff>
      <xdr:row>109</xdr:row>
      <xdr:rowOff>180975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CC201F95-6C04-4B80-9879-1D76191CFD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name="blocksworld" connectionId="1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depots" connectionId="2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gripper" connectionId="3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logistics" connectionId="4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G107"/>
  <sheetViews>
    <sheetView tabSelected="1" topLeftCell="A88" workbookViewId="0">
      <selection activeCell="H3" sqref="H3:H107"/>
    </sheetView>
  </sheetViews>
  <sheetFormatPr defaultRowHeight="15" x14ac:dyDescent="0.25"/>
  <cols>
    <col min="1" max="1" width="8.5703125" customWidth="1"/>
    <col min="2" max="2" width="20.140625" customWidth="1"/>
    <col min="3" max="3" width="18.5703125" customWidth="1"/>
    <col min="4" max="4" width="20.7109375" customWidth="1"/>
    <col min="5" max="5" width="43.7109375" customWidth="1"/>
    <col min="6" max="6" width="19.42578125" customWidth="1"/>
    <col min="7" max="7" width="23.7109375" customWidth="1"/>
    <col min="8" max="8" width="20.28515625" customWidth="1"/>
    <col min="9" max="9" width="8.28515625" customWidth="1"/>
    <col min="10" max="10" width="25.42578125" customWidth="1"/>
    <col min="11" max="11" width="11.5703125" customWidth="1"/>
    <col min="12" max="1671" width="8.28515625" customWidth="1"/>
  </cols>
  <sheetData>
    <row r="1" spans="1:11" x14ac:dyDescent="0.25">
      <c r="C1" s="32" t="s">
        <v>0</v>
      </c>
      <c r="D1" s="33"/>
      <c r="E1" s="20" t="s">
        <v>143</v>
      </c>
      <c r="F1" s="34">
        <v>-0.02</v>
      </c>
      <c r="G1" s="22" t="s">
        <v>144</v>
      </c>
      <c r="H1" s="23"/>
      <c r="J1" s="22" t="s">
        <v>145</v>
      </c>
      <c r="K1" s="23"/>
    </row>
    <row r="2" spans="1:11" x14ac:dyDescent="0.25">
      <c r="C2" s="1" t="s">
        <v>1</v>
      </c>
      <c r="D2" s="2" t="s">
        <v>2</v>
      </c>
      <c r="E2" s="21"/>
      <c r="F2" s="21"/>
      <c r="G2" s="24"/>
      <c r="H2" s="25"/>
      <c r="J2" s="24"/>
      <c r="K2" s="25"/>
    </row>
    <row r="3" spans="1:11" x14ac:dyDescent="0.25">
      <c r="A3" s="30" t="s">
        <v>31</v>
      </c>
      <c r="B3" s="31"/>
      <c r="C3" s="4">
        <f>AVERAGE(blocksworld!B1:K1)</f>
        <v>1.0520926999999999E-3</v>
      </c>
      <c r="D3" s="5">
        <f>AVERAGE(blocksworld!B37:K37)</f>
        <v>1.8375339999999999E-4</v>
      </c>
      <c r="E3" s="14">
        <f>ABS(C3 - D3) / (ABS(C3 + D3) / 2)</f>
        <v>1.405254748143802</v>
      </c>
      <c r="F3" s="14">
        <f>(C3 - D3)/D3</f>
        <v>4.7255686153290224</v>
      </c>
      <c r="G3" s="4" t="s">
        <v>58</v>
      </c>
      <c r="H3" s="17">
        <v>1.1721610810803738</v>
      </c>
      <c r="J3" s="4" t="s">
        <v>58</v>
      </c>
      <c r="K3" s="17">
        <v>2.8318578754671409</v>
      </c>
    </row>
    <row r="4" spans="1:11" x14ac:dyDescent="0.25">
      <c r="A4" s="26" t="s">
        <v>32</v>
      </c>
      <c r="B4" s="27"/>
      <c r="C4" s="6">
        <f>AVERAGE(blocksworld!B2:K2)</f>
        <v>2.8157839999999997E-4</v>
      </c>
      <c r="D4" s="7">
        <f>AVERAGE(blocksworld!B38:K38)</f>
        <v>1.9919599999999998E-5</v>
      </c>
      <c r="E4" s="15">
        <f t="shared" ref="E4:E67" si="0">ABS(C4 - D4) / (ABS(C4 + D4) / 2)</f>
        <v>1.7357249467658158</v>
      </c>
      <c r="F4" s="15">
        <f t="shared" ref="F4:F67" si="1">(C4 - D4)/D4</f>
        <v>13.135745697704772</v>
      </c>
      <c r="G4" s="10" t="s">
        <v>100</v>
      </c>
      <c r="H4" s="18">
        <v>1.3918750793092614</v>
      </c>
      <c r="J4" s="10" t="s">
        <v>100</v>
      </c>
      <c r="K4" s="18">
        <v>4.5775959246277891</v>
      </c>
    </row>
    <row r="5" spans="1:11" x14ac:dyDescent="0.25">
      <c r="A5" s="26" t="s">
        <v>33</v>
      </c>
      <c r="B5" s="27"/>
      <c r="C5" s="6">
        <f>AVERAGE(blocksworld!B3:K3)</f>
        <v>2.3824040000000002E-4</v>
      </c>
      <c r="D5" s="7">
        <f>AVERAGE(blocksworld!B39:K39)</f>
        <v>1.23623E-5</v>
      </c>
      <c r="E5" s="15">
        <f t="shared" si="0"/>
        <v>1.8026789017037725</v>
      </c>
      <c r="F5" s="15">
        <f t="shared" si="1"/>
        <v>18.271527143007372</v>
      </c>
      <c r="G5" s="6" t="s">
        <v>65</v>
      </c>
      <c r="H5" s="18">
        <v>1.3971484855547929</v>
      </c>
      <c r="J5" s="6" t="s">
        <v>65</v>
      </c>
      <c r="K5" s="18">
        <v>4.6351330371644215</v>
      </c>
    </row>
    <row r="6" spans="1:11" x14ac:dyDescent="0.25">
      <c r="A6" s="26" t="s">
        <v>34</v>
      </c>
      <c r="B6" s="27"/>
      <c r="C6" s="6">
        <f>AVERAGE(blocksworld!B4:K4)</f>
        <v>3.3573849999999998E-4</v>
      </c>
      <c r="D6" s="7">
        <f>AVERAGE(blocksworld!B40:K40)</f>
        <v>1.5954299999999997E-5</v>
      </c>
      <c r="E6" s="15">
        <f t="shared" si="0"/>
        <v>1.8185427736934052</v>
      </c>
      <c r="F6" s="15">
        <f t="shared" si="1"/>
        <v>20.043762496631004</v>
      </c>
      <c r="G6" s="6" t="s">
        <v>31</v>
      </c>
      <c r="H6" s="18">
        <v>1.405254748143802</v>
      </c>
      <c r="J6" s="6" t="s">
        <v>31</v>
      </c>
      <c r="K6" s="18">
        <v>4.7255686153290224</v>
      </c>
    </row>
    <row r="7" spans="1:11" x14ac:dyDescent="0.25">
      <c r="A7" s="26" t="s">
        <v>35</v>
      </c>
      <c r="B7" s="27"/>
      <c r="C7" s="6">
        <f>AVERAGE(blocksworld!B5:K5)</f>
        <v>2.2144649999999996E-4</v>
      </c>
      <c r="D7" s="7">
        <f>AVERAGE(blocksworld!B41:K41)</f>
        <v>1.3528499999999999E-5</v>
      </c>
      <c r="E7" s="15">
        <f t="shared" si="0"/>
        <v>1.769703159910629</v>
      </c>
      <c r="F7" s="15">
        <f t="shared" si="1"/>
        <v>15.368887903315223</v>
      </c>
      <c r="G7" s="6" t="s">
        <v>63</v>
      </c>
      <c r="H7" s="18">
        <v>1.4076794365205576</v>
      </c>
      <c r="J7" s="6" t="s">
        <v>63</v>
      </c>
      <c r="K7" s="18">
        <v>4.753100004671416</v>
      </c>
    </row>
    <row r="8" spans="1:11" x14ac:dyDescent="0.25">
      <c r="A8" s="26" t="s">
        <v>36</v>
      </c>
      <c r="B8" s="27"/>
      <c r="C8" s="6">
        <f>AVERAGE(blocksworld!B6:K6)</f>
        <v>2.2354559999999998E-4</v>
      </c>
      <c r="D8" s="7">
        <f>AVERAGE(blocksworld!B42:K42)</f>
        <v>1.4134999999999996E-5</v>
      </c>
      <c r="E8" s="15">
        <f t="shared" si="0"/>
        <v>1.7621177327892978</v>
      </c>
      <c r="F8" s="15">
        <f t="shared" si="1"/>
        <v>14.815040679165195</v>
      </c>
      <c r="G8" s="6" t="s">
        <v>64</v>
      </c>
      <c r="H8" s="18">
        <v>1.4118592520293491</v>
      </c>
      <c r="J8" s="6" t="s">
        <v>64</v>
      </c>
      <c r="K8" s="18">
        <v>4.8010931291562304</v>
      </c>
    </row>
    <row r="9" spans="1:11" x14ac:dyDescent="0.25">
      <c r="A9" s="26" t="s">
        <v>37</v>
      </c>
      <c r="B9" s="27"/>
      <c r="C9" s="6">
        <f>AVERAGE(blocksworld!B7:K7)</f>
        <v>1.3593740000000001E-4</v>
      </c>
      <c r="D9" s="7">
        <f>AVERAGE(blocksworld!B43:K43)</f>
        <v>9.1900000000000001E-6</v>
      </c>
      <c r="E9" s="15">
        <f t="shared" si="0"/>
        <v>1.7467053085771533</v>
      </c>
      <c r="F9" s="15">
        <f t="shared" si="1"/>
        <v>13.791882480957563</v>
      </c>
      <c r="G9" s="6" t="s">
        <v>60</v>
      </c>
      <c r="H9" s="18">
        <v>1.4307906526967609</v>
      </c>
      <c r="J9" s="6" t="s">
        <v>60</v>
      </c>
      <c r="K9" s="18">
        <v>5.0272914859021958</v>
      </c>
    </row>
    <row r="10" spans="1:11" x14ac:dyDescent="0.25">
      <c r="A10" s="26" t="s">
        <v>38</v>
      </c>
      <c r="B10" s="27"/>
      <c r="C10" s="6">
        <f>AVERAGE(blocksworld!B8:K8)</f>
        <v>1.1550510000000001E-4</v>
      </c>
      <c r="D10" s="7">
        <f>AVERAGE(blocksworld!B44:K44)</f>
        <v>1.1335900000000001E-5</v>
      </c>
      <c r="E10" s="15">
        <f t="shared" si="0"/>
        <v>1.6425162210957023</v>
      </c>
      <c r="F10" s="15">
        <f t="shared" si="1"/>
        <v>9.1893188895456017</v>
      </c>
      <c r="G10" s="6" t="s">
        <v>61</v>
      </c>
      <c r="H10" s="18">
        <v>1.4339779029542263</v>
      </c>
      <c r="J10" s="6" t="s">
        <v>61</v>
      </c>
      <c r="K10" s="18">
        <v>5.0668619138318274</v>
      </c>
    </row>
    <row r="11" spans="1:11" x14ac:dyDescent="0.25">
      <c r="A11" s="26" t="s">
        <v>39</v>
      </c>
      <c r="B11" s="27"/>
      <c r="C11" s="6">
        <f>AVERAGE(blocksworld!B9:K9)</f>
        <v>1.7652299999999999E-4</v>
      </c>
      <c r="D11" s="7">
        <f>AVERAGE(blocksworld!B45:K45)</f>
        <v>1.7540299999999999E-5</v>
      </c>
      <c r="E11" s="15">
        <f t="shared" si="0"/>
        <v>1.6384622955499573</v>
      </c>
      <c r="F11" s="15">
        <f t="shared" si="1"/>
        <v>9.0638529557647249</v>
      </c>
      <c r="G11" s="10" t="s">
        <v>128</v>
      </c>
      <c r="H11" s="18">
        <v>1.441124060801888</v>
      </c>
      <c r="J11" s="10" t="s">
        <v>128</v>
      </c>
      <c r="K11" s="18">
        <v>5.1572234899560918</v>
      </c>
    </row>
    <row r="12" spans="1:11" x14ac:dyDescent="0.25">
      <c r="A12" s="26" t="s">
        <v>40</v>
      </c>
      <c r="B12" s="27"/>
      <c r="C12" s="6">
        <f>AVERAGE(blocksworld!B10:K10)</f>
        <v>1.3346499999999998E-4</v>
      </c>
      <c r="D12" s="7">
        <f>AVERAGE(blocksworld!B46:K46)</f>
        <v>1.6840799999999996E-5</v>
      </c>
      <c r="E12" s="15">
        <f t="shared" si="0"/>
        <v>1.5518256780510131</v>
      </c>
      <c r="F12" s="15">
        <f t="shared" si="1"/>
        <v>6.9250985701391867</v>
      </c>
      <c r="G12" s="10" t="s">
        <v>107</v>
      </c>
      <c r="H12" s="18">
        <v>1.441154097507346</v>
      </c>
      <c r="J12" s="10" t="s">
        <v>107</v>
      </c>
      <c r="K12" s="18">
        <v>5.1576081745586038</v>
      </c>
    </row>
    <row r="13" spans="1:11" x14ac:dyDescent="0.25">
      <c r="A13" s="26" t="s">
        <v>41</v>
      </c>
      <c r="B13" s="27"/>
      <c r="C13" s="6">
        <f>AVERAGE(blocksworld!B11:K11)</f>
        <v>2.025533E-4</v>
      </c>
      <c r="D13" s="7">
        <f>AVERAGE(blocksworld!B47:K47)</f>
        <v>2.1272400000000003E-5</v>
      </c>
      <c r="E13" s="15">
        <f t="shared" si="0"/>
        <v>1.6198399022096213</v>
      </c>
      <c r="F13" s="15">
        <f t="shared" si="1"/>
        <v>8.5218828152911748</v>
      </c>
      <c r="G13" s="6" t="s">
        <v>62</v>
      </c>
      <c r="H13" s="18">
        <v>1.451063651914952</v>
      </c>
      <c r="J13" s="6" t="s">
        <v>62</v>
      </c>
      <c r="K13" s="18">
        <v>5.2868193442717173</v>
      </c>
    </row>
    <row r="14" spans="1:11" x14ac:dyDescent="0.25">
      <c r="A14" s="26" t="s">
        <v>42</v>
      </c>
      <c r="B14" s="27"/>
      <c r="C14" s="6">
        <f>AVERAGE(blocksworld!B12:K12)</f>
        <v>1.1709080000000001E-4</v>
      </c>
      <c r="D14" s="7">
        <f>AVERAGE(blocksworld!B48:K48)</f>
        <v>1.3668400000000003E-5</v>
      </c>
      <c r="E14" s="15">
        <f t="shared" si="0"/>
        <v>1.5818756921119126</v>
      </c>
      <c r="F14" s="15">
        <f t="shared" si="1"/>
        <v>7.5665330250797442</v>
      </c>
      <c r="G14" s="6" t="s">
        <v>53</v>
      </c>
      <c r="H14" s="18">
        <v>1.4536932055821117</v>
      </c>
      <c r="J14" s="6" t="s">
        <v>53</v>
      </c>
      <c r="K14" s="18">
        <v>5.3218931942117971</v>
      </c>
    </row>
    <row r="15" spans="1:11" x14ac:dyDescent="0.25">
      <c r="A15" s="26" t="s">
        <v>43</v>
      </c>
      <c r="B15" s="27"/>
      <c r="C15" s="6">
        <f>AVERAGE(blocksworld!B13:K13)</f>
        <v>1.2926649999999999E-4</v>
      </c>
      <c r="D15" s="7">
        <f>AVERAGE(blocksworld!B49:K49)</f>
        <v>1.0449499999999999E-5</v>
      </c>
      <c r="E15" s="15">
        <f t="shared" si="0"/>
        <v>1.7008359815625984</v>
      </c>
      <c r="F15" s="15">
        <f t="shared" si="1"/>
        <v>11.370591894349012</v>
      </c>
      <c r="G15" s="10" t="s">
        <v>98</v>
      </c>
      <c r="H15" s="18">
        <v>1.4585409910930012</v>
      </c>
      <c r="J15" s="10" t="s">
        <v>98</v>
      </c>
      <c r="K15" s="18">
        <v>5.387447496855744</v>
      </c>
    </row>
    <row r="16" spans="1:11" x14ac:dyDescent="0.25">
      <c r="A16" s="26" t="s">
        <v>44</v>
      </c>
      <c r="B16" s="27"/>
      <c r="C16" s="6">
        <f>AVERAGE(blocksworld!B14:K14)</f>
        <v>2.057723E-4</v>
      </c>
      <c r="D16" s="7">
        <f>AVERAGE(blocksworld!B50:K50)</f>
        <v>1.3342099999999999E-5</v>
      </c>
      <c r="E16" s="15">
        <f t="shared" si="0"/>
        <v>1.7564359074529106</v>
      </c>
      <c r="F16" s="15">
        <f t="shared" si="1"/>
        <v>14.422782020821312</v>
      </c>
      <c r="G16" s="10" t="s">
        <v>105</v>
      </c>
      <c r="H16" s="18">
        <v>1.4721263682955799</v>
      </c>
      <c r="J16" s="10" t="s">
        <v>105</v>
      </c>
      <c r="K16" s="18">
        <v>5.5775711453603654</v>
      </c>
    </row>
    <row r="17" spans="1:11" x14ac:dyDescent="0.25">
      <c r="A17" s="26" t="s">
        <v>45</v>
      </c>
      <c r="B17" s="27"/>
      <c r="C17" s="6">
        <f>AVERAGE(blocksworld!B15:K15)</f>
        <v>1.0127669999999999E-4</v>
      </c>
      <c r="D17" s="7">
        <f>AVERAGE(blocksworld!B51:K51)</f>
        <v>1.3855000000000004E-5</v>
      </c>
      <c r="E17" s="15">
        <f t="shared" si="0"/>
        <v>1.5186382204032423</v>
      </c>
      <c r="F17" s="15">
        <f t="shared" si="1"/>
        <v>6.3097582100324763</v>
      </c>
      <c r="G17" s="6" t="s">
        <v>59</v>
      </c>
      <c r="H17" s="18">
        <v>1.473084496696365</v>
      </c>
      <c r="J17" s="6" t="s">
        <v>59</v>
      </c>
      <c r="K17" s="18">
        <v>5.5913499886052866</v>
      </c>
    </row>
    <row r="18" spans="1:11" x14ac:dyDescent="0.25">
      <c r="A18" s="26" t="s">
        <v>46</v>
      </c>
      <c r="B18" s="27"/>
      <c r="C18" s="6">
        <f>AVERAGE(blocksworld!B16:K16)</f>
        <v>1.3691700000000002E-4</v>
      </c>
      <c r="D18" s="7">
        <f>AVERAGE(blocksworld!B52:K52)</f>
        <v>1.7540499999999996E-5</v>
      </c>
      <c r="E18" s="15">
        <f t="shared" si="0"/>
        <v>1.5457520677208942</v>
      </c>
      <c r="F18" s="15">
        <f t="shared" si="1"/>
        <v>6.8057638037684249</v>
      </c>
      <c r="G18" s="10" t="s">
        <v>97</v>
      </c>
      <c r="H18" s="18">
        <v>1.4760249528711722</v>
      </c>
      <c r="J18" s="10" t="s">
        <v>97</v>
      </c>
      <c r="K18" s="18">
        <v>5.6339513148925473</v>
      </c>
    </row>
    <row r="19" spans="1:11" x14ac:dyDescent="0.25">
      <c r="A19" s="26" t="s">
        <v>47</v>
      </c>
      <c r="B19" s="27"/>
      <c r="C19" s="6">
        <f>AVERAGE(blocksworld!B17:K17)</f>
        <v>1.345381E-4</v>
      </c>
      <c r="D19" s="7">
        <f>AVERAGE(blocksworld!B53:K53)</f>
        <v>1.5440999999999997E-5</v>
      </c>
      <c r="E19" s="15">
        <f t="shared" si="0"/>
        <v>1.5881826201117357</v>
      </c>
      <c r="F19" s="15">
        <f t="shared" si="1"/>
        <v>7.7130431966841551</v>
      </c>
      <c r="G19" s="10" t="s">
        <v>106</v>
      </c>
      <c r="H19" s="18">
        <v>1.4823204560091248</v>
      </c>
      <c r="J19" s="10" t="s">
        <v>106</v>
      </c>
      <c r="K19" s="18">
        <v>5.7267878293265229</v>
      </c>
    </row>
    <row r="20" spans="1:11" x14ac:dyDescent="0.25">
      <c r="A20" s="26" t="s">
        <v>48</v>
      </c>
      <c r="B20" s="27"/>
      <c r="C20" s="6">
        <f>AVERAGE(blocksworld!B18:K18)</f>
        <v>1.444742E-4</v>
      </c>
      <c r="D20" s="7">
        <f>AVERAGE(blocksworld!B54:K54)</f>
        <v>1.6047499999999998E-5</v>
      </c>
      <c r="E20" s="15">
        <f t="shared" si="0"/>
        <v>1.6001163705592454</v>
      </c>
      <c r="F20" s="15">
        <f t="shared" si="1"/>
        <v>8.0029101106091307</v>
      </c>
      <c r="G20" s="10" t="s">
        <v>95</v>
      </c>
      <c r="H20" s="18">
        <v>1.483285813083306</v>
      </c>
      <c r="J20" s="10" t="s">
        <v>95</v>
      </c>
      <c r="K20" s="18">
        <v>5.7412234873374777</v>
      </c>
    </row>
    <row r="21" spans="1:11" x14ac:dyDescent="0.25">
      <c r="A21" s="26" t="s">
        <v>49</v>
      </c>
      <c r="B21" s="27"/>
      <c r="C21" s="6">
        <f>AVERAGE(blocksworld!B19:K19)</f>
        <v>1.8473320000000001E-4</v>
      </c>
      <c r="D21" s="7">
        <f>AVERAGE(blocksworld!B55:K55)</f>
        <v>2.1692200000000002E-5</v>
      </c>
      <c r="E21" s="15">
        <f t="shared" si="0"/>
        <v>1.5796602549880003</v>
      </c>
      <c r="F21" s="15">
        <f t="shared" si="1"/>
        <v>7.5161117821152299</v>
      </c>
      <c r="G21" s="10" t="s">
        <v>99</v>
      </c>
      <c r="H21" s="18">
        <v>1.4853841053718722</v>
      </c>
      <c r="J21" s="10" t="s">
        <v>99</v>
      </c>
      <c r="K21" s="18">
        <v>5.7727875134725144</v>
      </c>
    </row>
    <row r="22" spans="1:11" x14ac:dyDescent="0.25">
      <c r="A22" s="26" t="s">
        <v>50</v>
      </c>
      <c r="B22" s="27"/>
      <c r="C22" s="6">
        <f>AVERAGE(blocksworld!B20:K20)</f>
        <v>1.5137870000000002E-4</v>
      </c>
      <c r="D22" s="7">
        <f>AVERAGE(blocksworld!B56:K56)</f>
        <v>2.0665999999999998E-5</v>
      </c>
      <c r="E22" s="15">
        <f t="shared" si="0"/>
        <v>1.5195202177108624</v>
      </c>
      <c r="F22" s="15">
        <f t="shared" si="1"/>
        <v>6.3250120971644268</v>
      </c>
      <c r="G22" s="10" t="s">
        <v>91</v>
      </c>
      <c r="H22" s="18">
        <v>1.4890684941012535</v>
      </c>
      <c r="J22" s="10" t="s">
        <v>91</v>
      </c>
      <c r="K22" s="18">
        <v>5.8288380219651135</v>
      </c>
    </row>
    <row r="23" spans="1:11" x14ac:dyDescent="0.25">
      <c r="A23" s="26" t="s">
        <v>51</v>
      </c>
      <c r="B23" s="27"/>
      <c r="C23" s="6">
        <f>AVERAGE(blocksworld!B21:K21)</f>
        <v>1.9577522000000002E-3</v>
      </c>
      <c r="D23" s="7">
        <f>AVERAGE(blocksworld!B57:K57)</f>
        <v>1.76335E-5</v>
      </c>
      <c r="E23" s="15">
        <f t="shared" si="0"/>
        <v>1.964293555430719</v>
      </c>
      <c r="F23" s="15">
        <f t="shared" si="1"/>
        <v>110.02459523066891</v>
      </c>
      <c r="G23" s="10" t="s">
        <v>96</v>
      </c>
      <c r="H23" s="18">
        <v>1.4904459758277238</v>
      </c>
      <c r="J23" s="10" t="s">
        <v>96</v>
      </c>
      <c r="K23" s="18">
        <v>5.8500017863613865</v>
      </c>
    </row>
    <row r="24" spans="1:11" x14ac:dyDescent="0.25">
      <c r="A24" s="26" t="s">
        <v>52</v>
      </c>
      <c r="B24" s="27"/>
      <c r="C24" s="6">
        <f>AVERAGE(blocksworld!B22:K22)</f>
        <v>1.3724369999999997E-4</v>
      </c>
      <c r="D24" s="7">
        <f>AVERAGE(blocksworld!B58:K58)</f>
        <v>1.9219400000000001E-5</v>
      </c>
      <c r="E24" s="15">
        <f t="shared" si="0"/>
        <v>1.508653478040509</v>
      </c>
      <c r="F24" s="15">
        <f t="shared" si="1"/>
        <v>6.1408940965899017</v>
      </c>
      <c r="G24" s="10" t="s">
        <v>101</v>
      </c>
      <c r="H24" s="18">
        <v>1.4947769507447601</v>
      </c>
      <c r="J24" s="10" t="s">
        <v>101</v>
      </c>
      <c r="K24" s="18">
        <v>5.9172951548756254</v>
      </c>
    </row>
    <row r="25" spans="1:11" x14ac:dyDescent="0.25">
      <c r="A25" s="26" t="s">
        <v>53</v>
      </c>
      <c r="B25" s="27"/>
      <c r="C25" s="6">
        <f>AVERAGE(blocksworld!B23:K23)</f>
        <v>1.7134480000000003E-4</v>
      </c>
      <c r="D25" s="7">
        <f>AVERAGE(blocksworld!B59:K59)</f>
        <v>2.7103400000000002E-5</v>
      </c>
      <c r="E25" s="15">
        <f t="shared" si="0"/>
        <v>1.4536932055821117</v>
      </c>
      <c r="F25" s="15">
        <f t="shared" si="1"/>
        <v>5.3218931942117971</v>
      </c>
      <c r="G25" s="10" t="s">
        <v>114</v>
      </c>
      <c r="H25" s="18">
        <v>1.495665003254502</v>
      </c>
      <c r="J25" s="10" t="s">
        <v>114</v>
      </c>
      <c r="K25" s="18">
        <v>5.9312362334801767</v>
      </c>
    </row>
    <row r="26" spans="1:11" x14ac:dyDescent="0.25">
      <c r="A26" s="26" t="s">
        <v>54</v>
      </c>
      <c r="B26" s="27"/>
      <c r="C26" s="6">
        <f>AVERAGE(blocksworld!B24:K24)</f>
        <v>1.491861E-4</v>
      </c>
      <c r="D26" s="7">
        <f>AVERAGE(blocksworld!B60:K60)</f>
        <v>1.8287000000000003E-5</v>
      </c>
      <c r="E26" s="15">
        <f t="shared" si="0"/>
        <v>1.5632253776875213</v>
      </c>
      <c r="F26" s="15">
        <f t="shared" si="1"/>
        <v>7.1580412314759112</v>
      </c>
      <c r="G26" s="10" t="s">
        <v>118</v>
      </c>
      <c r="H26" s="18">
        <v>1.4986529860258164</v>
      </c>
      <c r="J26" s="10" t="s">
        <v>118</v>
      </c>
      <c r="K26" s="18">
        <v>5.9785056827045864</v>
      </c>
    </row>
    <row r="27" spans="1:11" x14ac:dyDescent="0.25">
      <c r="A27" s="26" t="s">
        <v>55</v>
      </c>
      <c r="B27" s="27"/>
      <c r="C27" s="6">
        <f>AVERAGE(blocksworld!B25:K25)</f>
        <v>1.3570410000000003E-4</v>
      </c>
      <c r="D27" s="7">
        <f>AVERAGE(blocksworld!B61:K61)</f>
        <v>1.88931E-5</v>
      </c>
      <c r="E27" s="15">
        <f t="shared" si="0"/>
        <v>1.5111657908422662</v>
      </c>
      <c r="F27" s="15">
        <f t="shared" si="1"/>
        <v>6.1827333788525989</v>
      </c>
      <c r="G27" s="10" t="s">
        <v>110</v>
      </c>
      <c r="H27" s="18">
        <v>1.5013988510079106</v>
      </c>
      <c r="J27" s="10" t="s">
        <v>110</v>
      </c>
      <c r="K27" s="18">
        <v>6.022444408894577</v>
      </c>
    </row>
    <row r="28" spans="1:11" x14ac:dyDescent="0.25">
      <c r="A28" s="26" t="s">
        <v>56</v>
      </c>
      <c r="B28" s="27"/>
      <c r="C28" s="6">
        <f>AVERAGE(blocksworld!B26:K26)</f>
        <v>1.4862650000000002E-4</v>
      </c>
      <c r="D28" s="7">
        <f>AVERAGE(blocksworld!B62:K62)</f>
        <v>1.2781900000000002E-5</v>
      </c>
      <c r="E28" s="15">
        <f t="shared" si="0"/>
        <v>1.6832407730948329</v>
      </c>
      <c r="F28" s="15">
        <f t="shared" si="1"/>
        <v>10.627887872694982</v>
      </c>
      <c r="G28" s="10" t="s">
        <v>115</v>
      </c>
      <c r="H28" s="18">
        <v>1.5027948846948496</v>
      </c>
      <c r="J28" s="10" t="s">
        <v>115</v>
      </c>
      <c r="K28" s="18">
        <v>6.0449695243884882</v>
      </c>
    </row>
    <row r="29" spans="1:11" x14ac:dyDescent="0.25">
      <c r="A29" s="26" t="s">
        <v>57</v>
      </c>
      <c r="B29" s="27"/>
      <c r="C29" s="6">
        <f>AVERAGE(blocksworld!B27:K27)</f>
        <v>1.9536939999999998E-4</v>
      </c>
      <c r="D29" s="7">
        <f>AVERAGE(blocksworld!B63:K63)</f>
        <v>2.0805600000000003E-5</v>
      </c>
      <c r="E29" s="15">
        <f t="shared" si="0"/>
        <v>1.6150230137619983</v>
      </c>
      <c r="F29" s="15">
        <f t="shared" si="1"/>
        <v>8.3902314761410359</v>
      </c>
      <c r="G29" s="6" t="s">
        <v>52</v>
      </c>
      <c r="H29" s="18">
        <v>1.508653478040509</v>
      </c>
      <c r="J29" s="6" t="s">
        <v>52</v>
      </c>
      <c r="K29" s="18">
        <v>6.1408940965899017</v>
      </c>
    </row>
    <row r="30" spans="1:11" x14ac:dyDescent="0.25">
      <c r="A30" s="26" t="s">
        <v>58</v>
      </c>
      <c r="B30" s="27"/>
      <c r="C30" s="6">
        <f>AVERAGE(blocksworld!B28:K28)</f>
        <v>1.2119629999999999E-4</v>
      </c>
      <c r="D30" s="7">
        <f>AVERAGE(blocksworld!B64:K64)</f>
        <v>3.1628599999999997E-5</v>
      </c>
      <c r="E30" s="15">
        <f t="shared" si="0"/>
        <v>1.1721610810803738</v>
      </c>
      <c r="F30" s="15">
        <f t="shared" si="1"/>
        <v>2.8318578754671409</v>
      </c>
      <c r="G30" s="10" t="s">
        <v>94</v>
      </c>
      <c r="H30" s="18">
        <v>1.5093921543596009</v>
      </c>
      <c r="J30" s="10" t="s">
        <v>94</v>
      </c>
      <c r="K30" s="18">
        <v>6.1531513112651712</v>
      </c>
    </row>
    <row r="31" spans="1:11" x14ac:dyDescent="0.25">
      <c r="A31" s="26" t="s">
        <v>59</v>
      </c>
      <c r="B31" s="27"/>
      <c r="C31" s="6">
        <f>AVERAGE(blocksworld!B29:K29)</f>
        <v>9.25531E-5</v>
      </c>
      <c r="D31" s="7">
        <f>AVERAGE(blocksworld!B65:K65)</f>
        <v>1.4041600000000001E-5</v>
      </c>
      <c r="E31" s="15">
        <f t="shared" si="0"/>
        <v>1.473084496696365</v>
      </c>
      <c r="F31" s="15">
        <f t="shared" si="1"/>
        <v>5.5913499886052866</v>
      </c>
      <c r="G31" s="6" t="s">
        <v>55</v>
      </c>
      <c r="H31" s="18">
        <v>1.5111657908422662</v>
      </c>
      <c r="J31" s="6" t="s">
        <v>55</v>
      </c>
      <c r="K31" s="18">
        <v>6.1827333788525989</v>
      </c>
    </row>
    <row r="32" spans="1:11" x14ac:dyDescent="0.25">
      <c r="A32" s="26" t="s">
        <v>60</v>
      </c>
      <c r="B32" s="27"/>
      <c r="C32" s="6">
        <f>AVERAGE(blocksworld!B30:K30)</f>
        <v>8.2663700000000013E-5</v>
      </c>
      <c r="D32" s="7">
        <f>AVERAGE(blocksworld!B66:K66)</f>
        <v>1.3714899999999998E-5</v>
      </c>
      <c r="E32" s="15">
        <f t="shared" si="0"/>
        <v>1.4307906526967609</v>
      </c>
      <c r="F32" s="15">
        <f t="shared" si="1"/>
        <v>5.0272914859021958</v>
      </c>
      <c r="G32" s="10" t="s">
        <v>123</v>
      </c>
      <c r="H32" s="18">
        <v>1.513221445353554</v>
      </c>
      <c r="J32" s="10" t="s">
        <v>123</v>
      </c>
      <c r="K32" s="18">
        <v>6.2172888715388348</v>
      </c>
    </row>
    <row r="33" spans="1:11" x14ac:dyDescent="0.25">
      <c r="A33" s="26" t="s">
        <v>61</v>
      </c>
      <c r="B33" s="27"/>
      <c r="C33" s="6">
        <f>AVERAGE(blocksworld!B31:K31)</f>
        <v>8.8868000000000004E-5</v>
      </c>
      <c r="D33" s="7">
        <f>AVERAGE(blocksworld!B67:K67)</f>
        <v>1.4648100000000001E-5</v>
      </c>
      <c r="E33" s="15">
        <f t="shared" si="0"/>
        <v>1.4339779029542263</v>
      </c>
      <c r="F33" s="15">
        <f t="shared" si="1"/>
        <v>5.0668619138318274</v>
      </c>
      <c r="G33" s="10" t="s">
        <v>92</v>
      </c>
      <c r="H33" s="18">
        <v>1.5134900953706518</v>
      </c>
      <c r="J33" s="10" t="s">
        <v>92</v>
      </c>
      <c r="K33" s="18">
        <v>6.2218264457481789</v>
      </c>
    </row>
    <row r="34" spans="1:11" x14ac:dyDescent="0.25">
      <c r="A34" s="26" t="s">
        <v>62</v>
      </c>
      <c r="B34" s="27"/>
      <c r="C34" s="6">
        <f>AVERAGE(blocksworld!B32:K32)</f>
        <v>1.093938E-4</v>
      </c>
      <c r="D34" s="7">
        <f>AVERAGE(blocksworld!B68:K68)</f>
        <v>1.7400499999999997E-5</v>
      </c>
      <c r="E34" s="15">
        <f t="shared" si="0"/>
        <v>1.451063651914952</v>
      </c>
      <c r="F34" s="15">
        <f t="shared" si="1"/>
        <v>5.2868193442717173</v>
      </c>
      <c r="G34" s="10" t="s">
        <v>102</v>
      </c>
      <c r="H34" s="18">
        <v>1.5156489663795312</v>
      </c>
      <c r="J34" s="10" t="s">
        <v>102</v>
      </c>
      <c r="K34" s="18">
        <v>6.258473136932226</v>
      </c>
    </row>
    <row r="35" spans="1:11" x14ac:dyDescent="0.25">
      <c r="A35" s="26" t="s">
        <v>63</v>
      </c>
      <c r="B35" s="27"/>
      <c r="C35" s="6">
        <f>AVERAGE(blocksworld!B33:K33)</f>
        <v>1.1083979999999998E-4</v>
      </c>
      <c r="D35" s="7">
        <f>AVERAGE(blocksworld!B69:K69)</f>
        <v>1.9266100000000002E-5</v>
      </c>
      <c r="E35" s="15">
        <f t="shared" si="0"/>
        <v>1.4076794365205576</v>
      </c>
      <c r="F35" s="15">
        <f t="shared" si="1"/>
        <v>4.753100004671416</v>
      </c>
      <c r="G35" s="10" t="s">
        <v>124</v>
      </c>
      <c r="H35" s="18">
        <v>1.5170565231444699</v>
      </c>
      <c r="J35" s="10" t="s">
        <v>124</v>
      </c>
      <c r="K35" s="18">
        <v>6.2825427647231269</v>
      </c>
    </row>
    <row r="36" spans="1:11" x14ac:dyDescent="0.25">
      <c r="A36" s="26" t="s">
        <v>64</v>
      </c>
      <c r="B36" s="27"/>
      <c r="C36" s="6">
        <f>AVERAGE(blocksworld!B34:K34)</f>
        <v>9.7964800000000001E-5</v>
      </c>
      <c r="D36" s="7">
        <f>AVERAGE(blocksworld!B70:K70)</f>
        <v>1.68873E-5</v>
      </c>
      <c r="E36" s="15">
        <f t="shared" si="0"/>
        <v>1.4118592520293491</v>
      </c>
      <c r="F36" s="15">
        <f t="shared" si="1"/>
        <v>4.8010931291562304</v>
      </c>
      <c r="G36" s="6" t="s">
        <v>45</v>
      </c>
      <c r="H36" s="18">
        <v>1.5186382204032423</v>
      </c>
      <c r="J36" s="6" t="s">
        <v>45</v>
      </c>
      <c r="K36" s="18">
        <v>6.3097582100324763</v>
      </c>
    </row>
    <row r="37" spans="1:11" x14ac:dyDescent="0.25">
      <c r="A37" s="28" t="s">
        <v>65</v>
      </c>
      <c r="B37" s="29"/>
      <c r="C37" s="1">
        <f>AVERAGE(blocksworld!B35:K35)</f>
        <v>9.4372700000000005E-5</v>
      </c>
      <c r="D37" s="2">
        <f>AVERAGE(blocksworld!B71:K71)</f>
        <v>1.6747200000000001E-5</v>
      </c>
      <c r="E37" s="16">
        <f t="shared" si="0"/>
        <v>1.3971484855547929</v>
      </c>
      <c r="F37" s="15">
        <f t="shared" si="1"/>
        <v>4.6351330371644215</v>
      </c>
      <c r="G37" s="6" t="s">
        <v>50</v>
      </c>
      <c r="H37" s="18">
        <v>1.5195202177108624</v>
      </c>
      <c r="J37" s="6" t="s">
        <v>50</v>
      </c>
      <c r="K37" s="18">
        <v>6.3250120971644268</v>
      </c>
    </row>
    <row r="38" spans="1:11" x14ac:dyDescent="0.25">
      <c r="A38" s="30" t="s">
        <v>66</v>
      </c>
      <c r="B38" s="31"/>
      <c r="C38" s="8">
        <f>AVERAGE(depots!B1:K1)</f>
        <v>5.6072999999999983E-5</v>
      </c>
      <c r="D38" s="9">
        <f>AVERAGE(depots!B24:K24)</f>
        <v>5.598099999999999E-6</v>
      </c>
      <c r="E38" s="14">
        <f t="shared" si="0"/>
        <v>1.6369061035071535</v>
      </c>
      <c r="F38" s="15">
        <f t="shared" si="1"/>
        <v>9.0164341472999752</v>
      </c>
      <c r="G38" s="10" t="s">
        <v>127</v>
      </c>
      <c r="H38" s="18">
        <v>1.5203423284659994</v>
      </c>
      <c r="J38" s="10" t="s">
        <v>127</v>
      </c>
      <c r="K38" s="18">
        <v>6.3392807774918669</v>
      </c>
    </row>
    <row r="39" spans="1:11" x14ac:dyDescent="0.25">
      <c r="A39" s="26" t="s">
        <v>67</v>
      </c>
      <c r="B39" s="27"/>
      <c r="C39" s="10">
        <f>AVERAGE(depots!B2:K2)</f>
        <v>6.0738100000000007E-5</v>
      </c>
      <c r="D39" s="11">
        <f>AVERAGE(depots!B25:K25)</f>
        <v>5.8777999999999999E-6</v>
      </c>
      <c r="E39" s="15">
        <f t="shared" si="0"/>
        <v>1.6470632386562367</v>
      </c>
      <c r="F39" s="15">
        <f t="shared" si="1"/>
        <v>9.3334751097349358</v>
      </c>
      <c r="G39" s="10" t="s">
        <v>122</v>
      </c>
      <c r="H39" s="18">
        <v>1.5232586088099092</v>
      </c>
      <c r="J39" s="10" t="s">
        <v>122</v>
      </c>
      <c r="K39" s="18">
        <v>6.3902930895401999</v>
      </c>
    </row>
    <row r="40" spans="1:11" x14ac:dyDescent="0.25">
      <c r="A40" s="26" t="s">
        <v>68</v>
      </c>
      <c r="B40" s="27"/>
      <c r="C40" s="10">
        <f>AVERAGE(depots!B3:K3)</f>
        <v>1.2245559999999998E-4</v>
      </c>
      <c r="D40" s="11">
        <f>AVERAGE(depots!B26:K26)</f>
        <v>1.1895800000000001E-5</v>
      </c>
      <c r="E40" s="15">
        <f t="shared" si="0"/>
        <v>1.6458302630266599</v>
      </c>
      <c r="F40" s="15">
        <f t="shared" si="1"/>
        <v>9.2940197380588092</v>
      </c>
      <c r="G40" s="10" t="s">
        <v>125</v>
      </c>
      <c r="H40" s="18">
        <v>1.5261650272387342</v>
      </c>
      <c r="J40" s="10" t="s">
        <v>125</v>
      </c>
      <c r="K40" s="18">
        <v>6.4417576370314427</v>
      </c>
    </row>
    <row r="41" spans="1:11" x14ac:dyDescent="0.25">
      <c r="A41" s="26" t="s">
        <v>69</v>
      </c>
      <c r="B41" s="27"/>
      <c r="C41" s="10">
        <f>AVERAGE(depots!B4:K4)</f>
        <v>1.1135310000000001E-4</v>
      </c>
      <c r="D41" s="11">
        <f>AVERAGE(depots!B27:K27)</f>
        <v>1.1895799999999999E-5</v>
      </c>
      <c r="E41" s="15">
        <f t="shared" si="0"/>
        <v>1.6139259660735308</v>
      </c>
      <c r="F41" s="15">
        <f t="shared" si="1"/>
        <v>8.3607071403352471</v>
      </c>
      <c r="G41" s="10" t="s">
        <v>116</v>
      </c>
      <c r="H41" s="18">
        <v>1.5358198914555294</v>
      </c>
      <c r="J41" s="10" t="s">
        <v>116</v>
      </c>
      <c r="K41" s="18">
        <v>6.617344703853858</v>
      </c>
    </row>
    <row r="42" spans="1:11" x14ac:dyDescent="0.25">
      <c r="A42" s="26" t="s">
        <v>70</v>
      </c>
      <c r="B42" s="27"/>
      <c r="C42" s="10">
        <f>AVERAGE(depots!B5:K5)</f>
        <v>2.8433029999999995E-4</v>
      </c>
      <c r="D42" s="11">
        <f>AVERAGE(depots!B28:K28)</f>
        <v>3.6760300000000001E-5</v>
      </c>
      <c r="E42" s="15">
        <f t="shared" si="0"/>
        <v>1.5420569770650403</v>
      </c>
      <c r="F42" s="15">
        <f t="shared" si="1"/>
        <v>6.7347110877767582</v>
      </c>
      <c r="G42" s="10" t="s">
        <v>120</v>
      </c>
      <c r="H42" s="18">
        <v>1.5378036221458087</v>
      </c>
      <c r="J42" s="10" t="s">
        <v>120</v>
      </c>
      <c r="K42" s="18">
        <v>6.6543300459656018</v>
      </c>
    </row>
    <row r="43" spans="1:11" x14ac:dyDescent="0.25">
      <c r="A43" s="26" t="s">
        <v>71</v>
      </c>
      <c r="B43" s="27"/>
      <c r="C43" s="10">
        <f>AVERAGE(depots!B6:K6)</f>
        <v>1.550175E-4</v>
      </c>
      <c r="D43" s="11">
        <f>AVERAGE(depots!B29:K29)</f>
        <v>1.8846699999999997E-5</v>
      </c>
      <c r="E43" s="15">
        <f t="shared" si="0"/>
        <v>1.5664041245983937</v>
      </c>
      <c r="F43" s="15">
        <f t="shared" si="1"/>
        <v>7.2251800049876129</v>
      </c>
      <c r="G43" s="10" t="s">
        <v>119</v>
      </c>
      <c r="H43" s="18">
        <v>1.541441103223754</v>
      </c>
      <c r="J43" s="10" t="s">
        <v>119</v>
      </c>
      <c r="K43" s="18">
        <v>6.7229798137616381</v>
      </c>
    </row>
    <row r="44" spans="1:11" x14ac:dyDescent="0.25">
      <c r="A44" s="26" t="s">
        <v>72</v>
      </c>
      <c r="B44" s="27"/>
      <c r="C44" s="10">
        <f>AVERAGE(depots!B7:K7)</f>
        <v>9.4605700000000001E-5</v>
      </c>
      <c r="D44" s="11">
        <f>AVERAGE(depots!B30:K30)</f>
        <v>1.0729699999999998E-5</v>
      </c>
      <c r="E44" s="15">
        <f t="shared" si="0"/>
        <v>1.5925510322265832</v>
      </c>
      <c r="F44" s="15">
        <f t="shared" si="1"/>
        <v>7.8171803498699894</v>
      </c>
      <c r="G44" s="6" t="s">
        <v>70</v>
      </c>
      <c r="H44" s="18">
        <v>1.5420569770650403</v>
      </c>
      <c r="J44" s="6" t="s">
        <v>70</v>
      </c>
      <c r="K44" s="18">
        <v>6.7347110877767582</v>
      </c>
    </row>
    <row r="45" spans="1:11" x14ac:dyDescent="0.25">
      <c r="A45" s="26" t="s">
        <v>73</v>
      </c>
      <c r="B45" s="27"/>
      <c r="C45" s="10">
        <f>AVERAGE(depots!B8:K8)</f>
        <v>1.6644649999999998E-4</v>
      </c>
      <c r="D45" s="11">
        <f>AVERAGE(depots!B31:K31)</f>
        <v>1.6840499999999999E-5</v>
      </c>
      <c r="E45" s="15">
        <f t="shared" si="0"/>
        <v>1.6324780262648197</v>
      </c>
      <c r="F45" s="15">
        <f t="shared" si="1"/>
        <v>8.883702977940084</v>
      </c>
      <c r="G45" s="10" t="s">
        <v>93</v>
      </c>
      <c r="H45" s="18">
        <v>1.5422641646791828</v>
      </c>
      <c r="J45" s="10" t="s">
        <v>93</v>
      </c>
      <c r="K45" s="18">
        <v>6.7386647304913057</v>
      </c>
    </row>
    <row r="46" spans="1:11" x14ac:dyDescent="0.25">
      <c r="A46" s="26" t="s">
        <v>74</v>
      </c>
      <c r="B46" s="27"/>
      <c r="C46" s="10">
        <f>AVERAGE(depots!B9:K9)</f>
        <v>2.3054320000000001E-4</v>
      </c>
      <c r="D46" s="11">
        <f>AVERAGE(depots!B32:K32)</f>
        <v>2.28116E-5</v>
      </c>
      <c r="E46" s="15">
        <f t="shared" si="0"/>
        <v>1.6398473603026269</v>
      </c>
      <c r="F46" s="15">
        <f t="shared" si="1"/>
        <v>9.1064020059969479</v>
      </c>
      <c r="G46" s="10" t="s">
        <v>111</v>
      </c>
      <c r="H46" s="18">
        <v>1.5442774552238347</v>
      </c>
      <c r="J46" s="10" t="s">
        <v>111</v>
      </c>
      <c r="K46" s="18">
        <v>6.7772703936880214</v>
      </c>
    </row>
    <row r="47" spans="1:11" x14ac:dyDescent="0.25">
      <c r="A47" s="26" t="s">
        <v>75</v>
      </c>
      <c r="B47" s="27"/>
      <c r="C47" s="10">
        <f>AVERAGE(depots!B10:K10)</f>
        <v>8.3689799999999993E-5</v>
      </c>
      <c r="D47" s="11">
        <f>AVERAGE(depots!B33:K33)</f>
        <v>9.2368000000000011E-6</v>
      </c>
      <c r="E47" s="15">
        <f t="shared" si="0"/>
        <v>1.6024044783732534</v>
      </c>
      <c r="F47" s="15">
        <f t="shared" si="1"/>
        <v>8.0604754893469579</v>
      </c>
      <c r="G47" s="6" t="s">
        <v>46</v>
      </c>
      <c r="H47" s="18">
        <v>1.5457520677208942</v>
      </c>
      <c r="J47" s="6" t="s">
        <v>46</v>
      </c>
      <c r="K47" s="18">
        <v>6.8057638037684249</v>
      </c>
    </row>
    <row r="48" spans="1:11" x14ac:dyDescent="0.25">
      <c r="A48" s="26" t="s">
        <v>76</v>
      </c>
      <c r="B48" s="27"/>
      <c r="C48" s="10">
        <f>AVERAGE(depots!B11:K11)</f>
        <v>2.0134039999999999E-4</v>
      </c>
      <c r="D48" s="11">
        <f>AVERAGE(depots!B34:K34)</f>
        <v>2.0572600000000004E-5</v>
      </c>
      <c r="E48" s="15">
        <f t="shared" si="0"/>
        <v>1.6291772000739029</v>
      </c>
      <c r="F48" s="15">
        <f t="shared" si="1"/>
        <v>8.7868232503426871</v>
      </c>
      <c r="G48" s="10" t="s">
        <v>117</v>
      </c>
      <c r="H48" s="18">
        <v>1.5466761415930717</v>
      </c>
      <c r="J48" s="10" t="s">
        <v>117</v>
      </c>
      <c r="K48" s="18">
        <v>6.8237138324393749</v>
      </c>
    </row>
    <row r="49" spans="1:11" x14ac:dyDescent="0.25">
      <c r="A49" s="26" t="s">
        <v>77</v>
      </c>
      <c r="B49" s="27"/>
      <c r="C49" s="10">
        <f>AVERAGE(depots!B12:K12)</f>
        <v>3.688133E-4</v>
      </c>
      <c r="D49" s="11">
        <f>AVERAGE(depots!B35:K35)</f>
        <v>3.52206E-5</v>
      </c>
      <c r="E49" s="15">
        <f t="shared" si="0"/>
        <v>1.65131044696992</v>
      </c>
      <c r="F49" s="15">
        <f t="shared" si="1"/>
        <v>9.4715223477169612</v>
      </c>
      <c r="G49" s="6" t="s">
        <v>131</v>
      </c>
      <c r="H49" s="18">
        <v>1.5485278106480898</v>
      </c>
      <c r="J49" s="6" t="s">
        <v>131</v>
      </c>
      <c r="K49" s="18">
        <v>6.8599034322402268</v>
      </c>
    </row>
    <row r="50" spans="1:11" x14ac:dyDescent="0.25">
      <c r="A50" s="26" t="s">
        <v>78</v>
      </c>
      <c r="B50" s="27"/>
      <c r="C50" s="10">
        <f>AVERAGE(depots!B13:K13)</f>
        <v>2.7126859999999995E-4</v>
      </c>
      <c r="D50" s="11">
        <f>AVERAGE(depots!B36:K36)</f>
        <v>1.1988799999999999E-5</v>
      </c>
      <c r="E50" s="15">
        <f t="shared" si="0"/>
        <v>1.830700980804032</v>
      </c>
      <c r="F50" s="15">
        <f t="shared" si="1"/>
        <v>21.62683504604297</v>
      </c>
      <c r="G50" s="6" t="s">
        <v>40</v>
      </c>
      <c r="H50" s="18">
        <v>1.5518256780510131</v>
      </c>
      <c r="J50" s="6" t="s">
        <v>40</v>
      </c>
      <c r="K50" s="18">
        <v>6.9250985701391867</v>
      </c>
    </row>
    <row r="51" spans="1:11" x14ac:dyDescent="0.25">
      <c r="A51" s="26" t="s">
        <v>79</v>
      </c>
      <c r="B51" s="27"/>
      <c r="C51" s="10">
        <f>AVERAGE(depots!B14:K14)</f>
        <v>1.2637439999999998E-4</v>
      </c>
      <c r="D51" s="11">
        <f>AVERAGE(depots!B37:K37)</f>
        <v>1.5114399999999997E-5</v>
      </c>
      <c r="E51" s="15">
        <f t="shared" si="0"/>
        <v>1.5727039878774858</v>
      </c>
      <c r="F51" s="15">
        <f t="shared" si="1"/>
        <v>7.3611919758640774</v>
      </c>
      <c r="G51" s="6" t="s">
        <v>129</v>
      </c>
      <c r="H51" s="18">
        <v>1.5547322386513693</v>
      </c>
      <c r="J51" s="6" t="s">
        <v>129</v>
      </c>
      <c r="K51" s="18">
        <v>6.9833586601571342</v>
      </c>
    </row>
    <row r="52" spans="1:11" x14ac:dyDescent="0.25">
      <c r="A52" s="26" t="s">
        <v>80</v>
      </c>
      <c r="B52" s="27"/>
      <c r="C52" s="10">
        <f>AVERAGE(depots!B15:K15)</f>
        <v>7.8184999999999998E-5</v>
      </c>
      <c r="D52" s="11">
        <f>AVERAGE(depots!B38:K38)</f>
        <v>1.2595E-6</v>
      </c>
      <c r="E52" s="15">
        <f t="shared" si="0"/>
        <v>1.936584659731007</v>
      </c>
      <c r="F52" s="15">
        <f t="shared" si="1"/>
        <v>61.076220722508928</v>
      </c>
      <c r="G52" s="6" t="s">
        <v>132</v>
      </c>
      <c r="H52" s="18">
        <v>1.5551173296550784</v>
      </c>
      <c r="J52" s="6" t="s">
        <v>132</v>
      </c>
      <c r="K52" s="18">
        <v>6.9911346668072349</v>
      </c>
    </row>
    <row r="53" spans="1:11" x14ac:dyDescent="0.25">
      <c r="A53" s="26" t="s">
        <v>81</v>
      </c>
      <c r="B53" s="27"/>
      <c r="C53" s="10">
        <f>AVERAGE(depots!B16:K16)</f>
        <v>1.5655679999999997E-4</v>
      </c>
      <c r="D53" s="11">
        <f>AVERAGE(depots!B39:K39)</f>
        <v>1.1335800000000001E-5</v>
      </c>
      <c r="E53" s="15">
        <f t="shared" si="0"/>
        <v>1.7299273464107408</v>
      </c>
      <c r="F53" s="15">
        <f t="shared" si="1"/>
        <v>12.81082940771714</v>
      </c>
      <c r="G53" s="10" t="s">
        <v>103</v>
      </c>
      <c r="H53" s="18">
        <v>1.5573136320162695</v>
      </c>
      <c r="J53" s="10" t="s">
        <v>103</v>
      </c>
      <c r="K53" s="18">
        <v>7.0357424336748613</v>
      </c>
    </row>
    <row r="54" spans="1:11" x14ac:dyDescent="0.25">
      <c r="A54" s="26" t="s">
        <v>82</v>
      </c>
      <c r="B54" s="27"/>
      <c r="C54" s="10">
        <f>AVERAGE(depots!B17:K17)</f>
        <v>1.6887239999999998E-4</v>
      </c>
      <c r="D54" s="11">
        <f>AVERAGE(depots!B40:K40)</f>
        <v>1.5767500000000001E-5</v>
      </c>
      <c r="E54" s="15">
        <f t="shared" si="0"/>
        <v>1.6584161928163954</v>
      </c>
      <c r="F54" s="15">
        <f t="shared" si="1"/>
        <v>9.7101569684477536</v>
      </c>
      <c r="G54" s="6" t="s">
        <v>54</v>
      </c>
      <c r="H54" s="18">
        <v>1.5632253776875213</v>
      </c>
      <c r="J54" s="6" t="s">
        <v>54</v>
      </c>
      <c r="K54" s="18">
        <v>7.1580412314759112</v>
      </c>
    </row>
    <row r="55" spans="1:11" x14ac:dyDescent="0.25">
      <c r="A55" s="26" t="s">
        <v>83</v>
      </c>
      <c r="B55" s="27"/>
      <c r="C55" s="10">
        <f>AVERAGE(depots!B18:K18)</f>
        <v>2.4719719999999996E-4</v>
      </c>
      <c r="D55" s="11">
        <f>AVERAGE(depots!B41:K41)</f>
        <v>2.5797500000000002E-5</v>
      </c>
      <c r="E55" s="15">
        <f t="shared" si="0"/>
        <v>1.6220073136951012</v>
      </c>
      <c r="F55" s="15">
        <f t="shared" si="1"/>
        <v>8.582215330942919</v>
      </c>
      <c r="G55" s="10" t="s">
        <v>109</v>
      </c>
      <c r="H55" s="18">
        <v>1.5647951362046149</v>
      </c>
      <c r="J55" s="10" t="s">
        <v>109</v>
      </c>
      <c r="K55" s="18">
        <v>7.1910737511440832</v>
      </c>
    </row>
    <row r="56" spans="1:11" x14ac:dyDescent="0.25">
      <c r="A56" s="26" t="s">
        <v>84</v>
      </c>
      <c r="B56" s="27"/>
      <c r="C56" s="10">
        <f>AVERAGE(depots!B19:K19)</f>
        <v>1.6570010000000002E-4</v>
      </c>
      <c r="D56" s="11">
        <f>AVERAGE(depots!B42:K42)</f>
        <v>1.7867E-5</v>
      </c>
      <c r="E56" s="15">
        <f t="shared" si="0"/>
        <v>1.6106709753545163</v>
      </c>
      <c r="F56" s="15">
        <f t="shared" si="1"/>
        <v>8.2740863043599955</v>
      </c>
      <c r="G56" s="6" t="s">
        <v>71</v>
      </c>
      <c r="H56" s="18">
        <v>1.5664041245983937</v>
      </c>
      <c r="J56" s="6" t="s">
        <v>71</v>
      </c>
      <c r="K56" s="18">
        <v>7.2251800049876129</v>
      </c>
    </row>
    <row r="57" spans="1:11" x14ac:dyDescent="0.25">
      <c r="A57" s="26" t="s">
        <v>85</v>
      </c>
      <c r="B57" s="27"/>
      <c r="C57" s="10">
        <f>AVERAGE(depots!B20:K20)</f>
        <v>3.3443259999999995E-4</v>
      </c>
      <c r="D57" s="11">
        <f>AVERAGE(depots!B43:K43)</f>
        <v>3.81597E-5</v>
      </c>
      <c r="E57" s="15">
        <f t="shared" si="0"/>
        <v>1.5903329188499067</v>
      </c>
      <c r="F57" s="15">
        <f t="shared" si="1"/>
        <v>7.7640259226356596</v>
      </c>
      <c r="G57" s="6" t="s">
        <v>79</v>
      </c>
      <c r="H57" s="18">
        <v>1.5727039878774858</v>
      </c>
      <c r="J57" s="6" t="s">
        <v>79</v>
      </c>
      <c r="K57" s="18">
        <v>7.3611919758640774</v>
      </c>
    </row>
    <row r="58" spans="1:11" x14ac:dyDescent="0.25">
      <c r="A58" s="26" t="s">
        <v>86</v>
      </c>
      <c r="B58" s="27"/>
      <c r="C58" s="10">
        <f>AVERAGE(depots!B21:K21)</f>
        <v>1.7218430000000002E-4</v>
      </c>
      <c r="D58" s="11">
        <f>AVERAGE(depots!B44:K44)</f>
        <v>1.6047799999999999E-5</v>
      </c>
      <c r="E58" s="15">
        <f t="shared" si="0"/>
        <v>1.6589784632907991</v>
      </c>
      <c r="F58" s="15">
        <f t="shared" si="1"/>
        <v>9.7294644748812953</v>
      </c>
      <c r="G58" s="6" t="s">
        <v>49</v>
      </c>
      <c r="H58" s="18">
        <v>1.5796602549880003</v>
      </c>
      <c r="J58" s="6" t="s">
        <v>49</v>
      </c>
      <c r="K58" s="18">
        <v>7.5161117821152299</v>
      </c>
    </row>
    <row r="59" spans="1:11" x14ac:dyDescent="0.25">
      <c r="A59" s="28" t="s">
        <v>87</v>
      </c>
      <c r="B59" s="29"/>
      <c r="C59" s="12">
        <f>AVERAGE(depots!B22:K22)</f>
        <v>1.9592799999999993E-5</v>
      </c>
      <c r="D59" s="13">
        <f>AVERAGE(depots!B45:K45)</f>
        <v>1.0727999999999999E-6</v>
      </c>
      <c r="E59" s="16">
        <f t="shared" si="0"/>
        <v>1.7923505729327962</v>
      </c>
      <c r="F59" s="15">
        <f t="shared" si="1"/>
        <v>17.263236390753164</v>
      </c>
      <c r="G59" s="6" t="s">
        <v>42</v>
      </c>
      <c r="H59" s="18">
        <v>1.5818756921119126</v>
      </c>
      <c r="J59" s="6" t="s">
        <v>42</v>
      </c>
      <c r="K59" s="18">
        <v>7.5665330250797442</v>
      </c>
    </row>
    <row r="60" spans="1:11" x14ac:dyDescent="0.25">
      <c r="A60" s="30" t="s">
        <v>88</v>
      </c>
      <c r="B60" s="31"/>
      <c r="C60" s="8">
        <f>AVERAGE(gripper!B1:K1)</f>
        <v>7.272700000000001E-5</v>
      </c>
      <c r="D60" s="9">
        <f>AVERAGE(gripper!B22:K22)</f>
        <v>5.4581999999999997E-6</v>
      </c>
      <c r="E60" s="14">
        <f t="shared" si="0"/>
        <v>1.7207553347692401</v>
      </c>
      <c r="F60" s="15">
        <f t="shared" si="1"/>
        <v>12.324356014803417</v>
      </c>
      <c r="G60" s="6" t="s">
        <v>47</v>
      </c>
      <c r="H60" s="18">
        <v>1.5881826201117357</v>
      </c>
      <c r="I60" s="3"/>
      <c r="J60" s="6" t="s">
        <v>47</v>
      </c>
      <c r="K60" s="18">
        <v>7.7130431966841551</v>
      </c>
    </row>
    <row r="61" spans="1:11" x14ac:dyDescent="0.25">
      <c r="A61" s="26" t="s">
        <v>89</v>
      </c>
      <c r="B61" s="27"/>
      <c r="C61" s="10">
        <f>AVERAGE(gripper!B2:K2)</f>
        <v>9.5958599999999993E-5</v>
      </c>
      <c r="D61" s="11">
        <f>AVERAGE(gripper!B23:K23)</f>
        <v>9.0034999999999994E-6</v>
      </c>
      <c r="E61" s="15">
        <f t="shared" si="0"/>
        <v>1.6568856758772927</v>
      </c>
      <c r="F61" s="15">
        <f t="shared" si="1"/>
        <v>9.6579219192536225</v>
      </c>
      <c r="G61" s="6" t="s">
        <v>85</v>
      </c>
      <c r="H61" s="18">
        <v>1.5903329188499067</v>
      </c>
      <c r="I61" s="3"/>
      <c r="J61" s="6" t="s">
        <v>85</v>
      </c>
      <c r="K61" s="18">
        <v>7.7640259226356596</v>
      </c>
    </row>
    <row r="62" spans="1:11" x14ac:dyDescent="0.25">
      <c r="A62" s="26" t="s">
        <v>90</v>
      </c>
      <c r="B62" s="27"/>
      <c r="C62" s="10">
        <f>AVERAGE(gripper!B3:K3)</f>
        <v>8.9147900000000001E-5</v>
      </c>
      <c r="D62" s="11">
        <f>AVERAGE(gripper!B24:K24)</f>
        <v>9.0968000000000007E-6</v>
      </c>
      <c r="E62" s="15">
        <f t="shared" si="0"/>
        <v>1.6296268399211358</v>
      </c>
      <c r="F62" s="15">
        <f t="shared" si="1"/>
        <v>8.7999186527130409</v>
      </c>
      <c r="G62" s="6" t="s">
        <v>72</v>
      </c>
      <c r="H62" s="18">
        <v>1.5925510322265832</v>
      </c>
      <c r="I62" s="3"/>
      <c r="J62" s="6" t="s">
        <v>72</v>
      </c>
      <c r="K62" s="18">
        <v>7.8171803498699894</v>
      </c>
    </row>
    <row r="63" spans="1:11" x14ac:dyDescent="0.25">
      <c r="A63" s="26" t="s">
        <v>91</v>
      </c>
      <c r="B63" s="27"/>
      <c r="C63" s="10">
        <f>AVERAGE(gripper!B4:K4)</f>
        <v>9.3019700000000007E-5</v>
      </c>
      <c r="D63" s="11">
        <f>AVERAGE(gripper!B25:K25)</f>
        <v>1.3621600000000004E-5</v>
      </c>
      <c r="E63" s="15">
        <f t="shared" si="0"/>
        <v>1.4890684941012535</v>
      </c>
      <c r="F63" s="15">
        <f t="shared" si="1"/>
        <v>5.8288380219651135</v>
      </c>
      <c r="G63" s="6" t="s">
        <v>48</v>
      </c>
      <c r="H63" s="18">
        <v>1.6001163705592454</v>
      </c>
      <c r="I63" s="3"/>
      <c r="J63" s="6" t="s">
        <v>48</v>
      </c>
      <c r="K63" s="18">
        <v>8.0029101106091307</v>
      </c>
    </row>
    <row r="64" spans="1:11" x14ac:dyDescent="0.25">
      <c r="A64" s="26" t="s">
        <v>92</v>
      </c>
      <c r="B64" s="27"/>
      <c r="C64" s="10">
        <f>AVERAGE(gripper!B5:K5)</f>
        <v>8.96142E-5</v>
      </c>
      <c r="D64" s="11">
        <f>AVERAGE(gripper!B26:K26)</f>
        <v>1.2408800000000001E-5</v>
      </c>
      <c r="E64" s="15">
        <f t="shared" si="0"/>
        <v>1.5134900953706518</v>
      </c>
      <c r="F64" s="15">
        <f t="shared" si="1"/>
        <v>6.2218264457481789</v>
      </c>
      <c r="G64" s="6" t="s">
        <v>75</v>
      </c>
      <c r="H64" s="18">
        <v>1.6024044783732534</v>
      </c>
      <c r="I64" s="3"/>
      <c r="J64" s="6" t="s">
        <v>75</v>
      </c>
      <c r="K64" s="18">
        <v>8.0604754893469579</v>
      </c>
    </row>
    <row r="65" spans="1:11" x14ac:dyDescent="0.25">
      <c r="A65" s="26" t="s">
        <v>93</v>
      </c>
      <c r="B65" s="27"/>
      <c r="C65" s="10">
        <f>AVERAGE(gripper!B6:K6)</f>
        <v>1.1191270000000002E-4</v>
      </c>
      <c r="D65" s="11">
        <f>AVERAGE(gripper!B27:K27)</f>
        <v>1.44615E-5</v>
      </c>
      <c r="E65" s="15">
        <f t="shared" si="0"/>
        <v>1.5422641646791828</v>
      </c>
      <c r="F65" s="15">
        <f t="shared" si="1"/>
        <v>6.7386647304913057</v>
      </c>
      <c r="G65" s="6" t="s">
        <v>84</v>
      </c>
      <c r="H65" s="18">
        <v>1.6106709753545163</v>
      </c>
      <c r="I65" s="3"/>
      <c r="J65" s="6" t="s">
        <v>84</v>
      </c>
      <c r="K65" s="18">
        <v>8.2740863043599955</v>
      </c>
    </row>
    <row r="66" spans="1:11" x14ac:dyDescent="0.25">
      <c r="A66" s="26" t="s">
        <v>94</v>
      </c>
      <c r="B66" s="27"/>
      <c r="C66" s="10">
        <f>AVERAGE(gripper!B7:K7)</f>
        <v>1.154583E-4</v>
      </c>
      <c r="D66" s="11">
        <f>AVERAGE(gripper!B28:K28)</f>
        <v>1.61409E-5</v>
      </c>
      <c r="E66" s="15">
        <f t="shared" si="0"/>
        <v>1.5093921543596009</v>
      </c>
      <c r="F66" s="15">
        <f t="shared" si="1"/>
        <v>6.1531513112651712</v>
      </c>
      <c r="G66" s="6" t="s">
        <v>108</v>
      </c>
      <c r="H66" s="18">
        <v>1.6129799551057378</v>
      </c>
      <c r="I66" s="3"/>
      <c r="J66" s="6" t="s">
        <v>108</v>
      </c>
      <c r="K66" s="18">
        <v>8.3353819854287909</v>
      </c>
    </row>
    <row r="67" spans="1:11" x14ac:dyDescent="0.25">
      <c r="A67" s="26" t="s">
        <v>95</v>
      </c>
      <c r="B67" s="27"/>
      <c r="C67" s="10">
        <f>AVERAGE(gripper!B8:K8)</f>
        <v>1.251616E-4</v>
      </c>
      <c r="D67" s="11">
        <f>AVERAGE(gripper!B29:K29)</f>
        <v>1.8566599999999999E-5</v>
      </c>
      <c r="E67" s="15">
        <f t="shared" si="0"/>
        <v>1.483285813083306</v>
      </c>
      <c r="F67" s="15">
        <f t="shared" si="1"/>
        <v>5.7412234873374777</v>
      </c>
      <c r="G67" s="6" t="s">
        <v>69</v>
      </c>
      <c r="H67" s="18">
        <v>1.6139259660735308</v>
      </c>
      <c r="I67" s="3"/>
      <c r="J67" s="6" t="s">
        <v>69</v>
      </c>
      <c r="K67" s="18">
        <v>8.3607071403352471</v>
      </c>
    </row>
    <row r="68" spans="1:11" x14ac:dyDescent="0.25">
      <c r="A68" s="26" t="s">
        <v>96</v>
      </c>
      <c r="B68" s="27"/>
      <c r="C68" s="10">
        <f>AVERAGE(gripper!B9:K9)</f>
        <v>1.3421140000000002E-4</v>
      </c>
      <c r="D68" s="11">
        <f>AVERAGE(gripper!B30:K30)</f>
        <v>1.95929E-5</v>
      </c>
      <c r="E68" s="15">
        <f t="shared" ref="E68:E107" si="2">ABS(C68 - D68) / (ABS(C68 + D68) / 2)</f>
        <v>1.4904459758277238</v>
      </c>
      <c r="F68" s="15">
        <f t="shared" ref="F68:F107" si="3">(C68 - D68)/D68</f>
        <v>5.8500017863613865</v>
      </c>
      <c r="G68" s="6" t="s">
        <v>57</v>
      </c>
      <c r="H68" s="18">
        <v>1.6150230137619983</v>
      </c>
      <c r="I68" s="3"/>
      <c r="J68" s="6" t="s">
        <v>57</v>
      </c>
      <c r="K68" s="18">
        <v>8.3902314761410359</v>
      </c>
    </row>
    <row r="69" spans="1:11" x14ac:dyDescent="0.25">
      <c r="A69" s="26" t="s">
        <v>97</v>
      </c>
      <c r="B69" s="27"/>
      <c r="C69" s="10">
        <f>AVERAGE(gripper!B10:K10)</f>
        <v>1.479265E-4</v>
      </c>
      <c r="D69" s="11">
        <f>AVERAGE(gripper!B31:K31)</f>
        <v>2.2298400000000003E-5</v>
      </c>
      <c r="E69" s="15">
        <f t="shared" si="2"/>
        <v>1.4760249528711722</v>
      </c>
      <c r="F69" s="15">
        <f t="shared" si="3"/>
        <v>5.6339513148925473</v>
      </c>
      <c r="G69" s="10" t="s">
        <v>112</v>
      </c>
      <c r="H69" s="18">
        <v>1.6169680740638799</v>
      </c>
      <c r="I69" s="3"/>
      <c r="J69" s="10" t="s">
        <v>112</v>
      </c>
      <c r="K69" s="18">
        <v>8.4429937275439961</v>
      </c>
    </row>
    <row r="70" spans="1:11" x14ac:dyDescent="0.25">
      <c r="A70" s="26" t="s">
        <v>98</v>
      </c>
      <c r="B70" s="27"/>
      <c r="C70" s="10">
        <f>AVERAGE(gripper!B11:K11)</f>
        <v>1.6150149999999999E-4</v>
      </c>
      <c r="D70" s="11">
        <f>AVERAGE(gripper!B32:K32)</f>
        <v>2.5284199999999998E-5</v>
      </c>
      <c r="E70" s="15">
        <f t="shared" si="2"/>
        <v>1.4585409910930012</v>
      </c>
      <c r="F70" s="15">
        <f t="shared" si="3"/>
        <v>5.387447496855744</v>
      </c>
      <c r="G70" s="6" t="s">
        <v>41</v>
      </c>
      <c r="H70" s="18">
        <v>1.6198399022096213</v>
      </c>
      <c r="I70" s="3"/>
      <c r="J70" s="6" t="s">
        <v>41</v>
      </c>
      <c r="K70" s="18">
        <v>8.5218828152911748</v>
      </c>
    </row>
    <row r="71" spans="1:11" x14ac:dyDescent="0.25">
      <c r="A71" s="26" t="s">
        <v>99</v>
      </c>
      <c r="B71" s="27"/>
      <c r="C71" s="10">
        <f>AVERAGE(gripper!B12:K12)</f>
        <v>1.696651E-4</v>
      </c>
      <c r="D71" s="11">
        <f>AVERAGE(gripper!B33:K33)</f>
        <v>2.5051000000000008E-5</v>
      </c>
      <c r="E71" s="15">
        <f t="shared" si="2"/>
        <v>1.4853841053718722</v>
      </c>
      <c r="F71" s="15">
        <f t="shared" si="3"/>
        <v>5.7727875134725144</v>
      </c>
      <c r="G71" s="6" t="s">
        <v>83</v>
      </c>
      <c r="H71" s="18">
        <v>1.6220073136951012</v>
      </c>
      <c r="I71" s="3"/>
      <c r="J71" s="6" t="s">
        <v>83</v>
      </c>
      <c r="K71" s="18">
        <v>8.582215330942919</v>
      </c>
    </row>
    <row r="72" spans="1:11" x14ac:dyDescent="0.25">
      <c r="A72" s="26" t="s">
        <v>100</v>
      </c>
      <c r="B72" s="27"/>
      <c r="C72" s="10">
        <f>AVERAGE(gripper!B13:K13)</f>
        <v>1.8109450000000001E-4</v>
      </c>
      <c r="D72" s="11">
        <f>AVERAGE(gripper!B34:K34)</f>
        <v>3.2468200000000002E-5</v>
      </c>
      <c r="E72" s="15">
        <f t="shared" si="2"/>
        <v>1.3918750793092614</v>
      </c>
      <c r="F72" s="15">
        <f t="shared" si="3"/>
        <v>4.5775959246277891</v>
      </c>
      <c r="G72" s="10" t="s">
        <v>104</v>
      </c>
      <c r="H72" s="18">
        <v>1.6277736479974168</v>
      </c>
      <c r="I72" s="3"/>
      <c r="J72" s="10" t="s">
        <v>104</v>
      </c>
      <c r="K72" s="18">
        <v>8.7461494289158868</v>
      </c>
    </row>
    <row r="73" spans="1:11" x14ac:dyDescent="0.25">
      <c r="A73" s="26" t="s">
        <v>101</v>
      </c>
      <c r="B73" s="27"/>
      <c r="C73" s="10">
        <f>AVERAGE(gripper!B14:K14)</f>
        <v>2.0297349999999999E-4</v>
      </c>
      <c r="D73" s="11">
        <f>AVERAGE(gripper!B35:K35)</f>
        <v>2.93429E-5</v>
      </c>
      <c r="E73" s="15">
        <f t="shared" si="2"/>
        <v>1.4947769507447601</v>
      </c>
      <c r="F73" s="15">
        <f t="shared" si="3"/>
        <v>5.9172951548756254</v>
      </c>
      <c r="G73" s="6" t="s">
        <v>76</v>
      </c>
      <c r="H73" s="18">
        <v>1.6291772000739029</v>
      </c>
      <c r="I73" s="3"/>
      <c r="J73" s="6" t="s">
        <v>76</v>
      </c>
      <c r="K73" s="18">
        <v>8.7868232503426871</v>
      </c>
    </row>
    <row r="74" spans="1:11" x14ac:dyDescent="0.25">
      <c r="A74" s="26" t="s">
        <v>102</v>
      </c>
      <c r="B74" s="27"/>
      <c r="C74" s="10">
        <f>AVERAGE(gripper!B15:K15)</f>
        <v>2.2009360000000002E-4</v>
      </c>
      <c r="D74" s="11">
        <f>AVERAGE(gripper!B36:K36)</f>
        <v>3.0322299999999999E-5</v>
      </c>
      <c r="E74" s="15">
        <f t="shared" si="2"/>
        <v>1.5156489663795312</v>
      </c>
      <c r="F74" s="15">
        <f t="shared" si="3"/>
        <v>6.258473136932226</v>
      </c>
      <c r="G74" s="10" t="s">
        <v>90</v>
      </c>
      <c r="H74" s="18">
        <v>1.6296268399211358</v>
      </c>
      <c r="I74" s="3"/>
      <c r="J74" s="10" t="s">
        <v>90</v>
      </c>
      <c r="K74" s="18">
        <v>8.7999186527130409</v>
      </c>
    </row>
    <row r="75" spans="1:11" x14ac:dyDescent="0.25">
      <c r="A75" s="26" t="s">
        <v>103</v>
      </c>
      <c r="B75" s="27"/>
      <c r="C75" s="10">
        <f>AVERAGE(gripper!B16:K16)</f>
        <v>2.6203190000000001E-4</v>
      </c>
      <c r="D75" s="11">
        <f>AVERAGE(gripper!B37:K37)</f>
        <v>3.2608300000000004E-5</v>
      </c>
      <c r="E75" s="15">
        <f t="shared" si="2"/>
        <v>1.5573136320162695</v>
      </c>
      <c r="F75" s="15">
        <f t="shared" si="3"/>
        <v>7.0357424336748613</v>
      </c>
      <c r="G75" s="6" t="s">
        <v>73</v>
      </c>
      <c r="H75" s="18">
        <v>1.6324780262648197</v>
      </c>
      <c r="I75" s="3"/>
      <c r="J75" s="6" t="s">
        <v>73</v>
      </c>
      <c r="K75" s="18">
        <v>8.883702977940084</v>
      </c>
    </row>
    <row r="76" spans="1:11" x14ac:dyDescent="0.25">
      <c r="A76" s="26" t="s">
        <v>104</v>
      </c>
      <c r="B76" s="27"/>
      <c r="C76" s="10">
        <f>AVERAGE(gripper!B17:K17)</f>
        <v>3.2416960000000001E-4</v>
      </c>
      <c r="D76" s="11">
        <f>AVERAGE(gripper!B38:K38)</f>
        <v>3.32613E-5</v>
      </c>
      <c r="E76" s="15">
        <f t="shared" si="2"/>
        <v>1.6277736479974168</v>
      </c>
      <c r="F76" s="15">
        <f t="shared" si="3"/>
        <v>8.7461494289158868</v>
      </c>
      <c r="G76" s="6" t="s">
        <v>66</v>
      </c>
      <c r="H76" s="18">
        <v>1.6369061035071535</v>
      </c>
      <c r="I76" s="3"/>
      <c r="J76" s="6" t="s">
        <v>66</v>
      </c>
      <c r="K76" s="18">
        <v>9.0164341472999752</v>
      </c>
    </row>
    <row r="77" spans="1:11" x14ac:dyDescent="0.25">
      <c r="A77" s="26" t="s">
        <v>105</v>
      </c>
      <c r="B77" s="27"/>
      <c r="C77" s="10">
        <f>AVERAGE(gripper!B18:K18)</f>
        <v>2.5713370000000001E-4</v>
      </c>
      <c r="D77" s="11">
        <f>AVERAGE(gripper!B39:K39)</f>
        <v>3.9092499999999992E-5</v>
      </c>
      <c r="E77" s="15">
        <f t="shared" si="2"/>
        <v>1.4721263682955799</v>
      </c>
      <c r="F77" s="15">
        <f t="shared" si="3"/>
        <v>5.5775711453603654</v>
      </c>
      <c r="G77" s="6" t="s">
        <v>39</v>
      </c>
      <c r="H77" s="18">
        <v>1.6384622955499573</v>
      </c>
      <c r="I77" s="3"/>
      <c r="J77" s="6" t="s">
        <v>39</v>
      </c>
      <c r="K77" s="18">
        <v>9.0638529557647249</v>
      </c>
    </row>
    <row r="78" spans="1:11" x14ac:dyDescent="0.25">
      <c r="A78" s="26" t="s">
        <v>106</v>
      </c>
      <c r="B78" s="27"/>
      <c r="C78" s="10">
        <f>AVERAGE(gripper!B19:K19)</f>
        <v>2.5386830000000002E-4</v>
      </c>
      <c r="D78" s="11">
        <f>AVERAGE(gripper!B40:K40)</f>
        <v>3.7739900000000001E-5</v>
      </c>
      <c r="E78" s="15">
        <f t="shared" si="2"/>
        <v>1.4823204560091248</v>
      </c>
      <c r="F78" s="15">
        <f t="shared" si="3"/>
        <v>5.7267878293265229</v>
      </c>
      <c r="G78" s="6" t="s">
        <v>74</v>
      </c>
      <c r="H78" s="18">
        <v>1.6398473603026269</v>
      </c>
      <c r="I78" s="3"/>
      <c r="J78" s="6" t="s">
        <v>74</v>
      </c>
      <c r="K78" s="18">
        <v>9.1064020059969479</v>
      </c>
    </row>
    <row r="79" spans="1:11" x14ac:dyDescent="0.25">
      <c r="A79" s="28" t="s">
        <v>107</v>
      </c>
      <c r="B79" s="29"/>
      <c r="C79" s="12">
        <f>AVERAGE(gripper!B20:K20)</f>
        <v>2.697291E-4</v>
      </c>
      <c r="D79" s="13">
        <f>AVERAGE(gripper!B41:K41)</f>
        <v>4.3804200000000003E-5</v>
      </c>
      <c r="E79" s="16">
        <f t="shared" si="2"/>
        <v>1.441154097507346</v>
      </c>
      <c r="F79" s="15">
        <f t="shared" si="3"/>
        <v>5.1576081745586038</v>
      </c>
      <c r="G79" s="6" t="s">
        <v>38</v>
      </c>
      <c r="H79" s="18">
        <v>1.6425162210957023</v>
      </c>
      <c r="I79" s="3"/>
      <c r="J79" s="6" t="s">
        <v>38</v>
      </c>
      <c r="K79" s="18">
        <v>9.1893188895456017</v>
      </c>
    </row>
    <row r="80" spans="1:11" x14ac:dyDescent="0.25">
      <c r="A80" s="30" t="s">
        <v>108</v>
      </c>
      <c r="B80" s="31"/>
      <c r="C80" s="8">
        <f>AVERAGE(logistics!B1:K1)</f>
        <v>6.880829999999999E-5</v>
      </c>
      <c r="D80" s="9">
        <f>AVERAGE(logistics!B30:K30)</f>
        <v>7.3707000000000004E-6</v>
      </c>
      <c r="E80" s="14">
        <f t="shared" si="2"/>
        <v>1.6129799551057378</v>
      </c>
      <c r="F80" s="15">
        <f t="shared" si="3"/>
        <v>8.3353819854287909</v>
      </c>
      <c r="G80" s="6" t="s">
        <v>68</v>
      </c>
      <c r="H80" s="18">
        <v>1.6458302630266599</v>
      </c>
      <c r="J80" s="6" t="s">
        <v>68</v>
      </c>
      <c r="K80" s="18">
        <v>9.2940197380588092</v>
      </c>
    </row>
    <row r="81" spans="1:1351" x14ac:dyDescent="0.25">
      <c r="A81" s="26" t="s">
        <v>109</v>
      </c>
      <c r="B81" s="27"/>
      <c r="C81" s="10">
        <f>AVERAGE(logistics!B2:K2)</f>
        <v>6.8015400000000006E-5</v>
      </c>
      <c r="D81" s="11">
        <f>AVERAGE(logistics!B31:K31)</f>
        <v>8.3035999999999996E-6</v>
      </c>
      <c r="E81" s="15">
        <f t="shared" si="2"/>
        <v>1.5647951362046149</v>
      </c>
      <c r="F81" s="15">
        <f t="shared" si="3"/>
        <v>7.1910737511440832</v>
      </c>
      <c r="G81" s="6" t="s">
        <v>67</v>
      </c>
      <c r="H81" s="18">
        <v>1.6470632386562367</v>
      </c>
      <c r="I81" s="3"/>
      <c r="J81" s="6" t="s">
        <v>67</v>
      </c>
      <c r="K81" s="18">
        <v>9.3334751097349358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  <c r="DK81" s="3"/>
      <c r="DL81" s="3"/>
      <c r="DM81" s="3"/>
      <c r="DN81" s="3"/>
      <c r="DO81" s="3"/>
      <c r="DP81" s="3"/>
      <c r="DQ81" s="3"/>
      <c r="DR81" s="3"/>
      <c r="DS81" s="3"/>
      <c r="DT81" s="3"/>
      <c r="DU81" s="3"/>
      <c r="DV81" s="3"/>
      <c r="DW81" s="3"/>
      <c r="DX81" s="3"/>
      <c r="DY81" s="3"/>
      <c r="DZ81" s="3"/>
      <c r="EA81" s="3"/>
      <c r="EB81" s="3"/>
      <c r="EC81" s="3"/>
      <c r="ED81" s="3"/>
      <c r="EE81" s="3"/>
      <c r="EF81" s="3"/>
      <c r="EG81" s="3"/>
      <c r="EH81" s="3"/>
      <c r="EI81" s="3"/>
      <c r="EJ81" s="3"/>
      <c r="EK81" s="3"/>
      <c r="EL81" s="3"/>
      <c r="EM81" s="3"/>
      <c r="EN81" s="3"/>
      <c r="EO81" s="3"/>
      <c r="EP81" s="3"/>
      <c r="EQ81" s="3"/>
      <c r="ER81" s="3"/>
      <c r="ES81" s="3"/>
      <c r="ET81" s="3"/>
      <c r="EU81" s="3"/>
    </row>
    <row r="82" spans="1:1351" x14ac:dyDescent="0.25">
      <c r="A82" s="26" t="s">
        <v>110</v>
      </c>
      <c r="B82" s="27"/>
      <c r="C82" s="10">
        <f>AVERAGE(logistics!B3:K3)</f>
        <v>4.3897299999999997E-5</v>
      </c>
      <c r="D82" s="11">
        <f>AVERAGE(logistics!B32:K32)</f>
        <v>6.251E-6</v>
      </c>
      <c r="E82" s="15">
        <f t="shared" si="2"/>
        <v>1.5013988510079106</v>
      </c>
      <c r="F82" s="15">
        <f t="shared" si="3"/>
        <v>6.022444408894577</v>
      </c>
      <c r="G82" s="6" t="s">
        <v>77</v>
      </c>
      <c r="H82" s="18">
        <v>1.65131044696992</v>
      </c>
      <c r="I82" s="3"/>
      <c r="J82" s="6" t="s">
        <v>77</v>
      </c>
      <c r="K82" s="18">
        <v>9.4715223477169612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  <c r="DK82" s="3"/>
      <c r="DL82" s="3"/>
      <c r="DM82" s="3"/>
      <c r="DN82" s="3"/>
      <c r="DO82" s="3"/>
      <c r="DP82" s="3"/>
      <c r="DQ82" s="3"/>
      <c r="DR82" s="3"/>
      <c r="DS82" s="3"/>
      <c r="DT82" s="3"/>
      <c r="DU82" s="3"/>
      <c r="DV82" s="3"/>
      <c r="DW82" s="3"/>
      <c r="DX82" s="3"/>
      <c r="DY82" s="3"/>
      <c r="DZ82" s="3"/>
      <c r="EA82" s="3"/>
      <c r="EB82" s="3"/>
      <c r="EC82" s="3"/>
      <c r="ED82" s="3"/>
      <c r="EE82" s="3"/>
      <c r="EF82" s="3"/>
      <c r="EG82" s="3"/>
      <c r="EH82" s="3"/>
      <c r="EI82" s="3"/>
      <c r="EJ82" s="3"/>
      <c r="EK82" s="3"/>
      <c r="EL82" s="3"/>
      <c r="EM82" s="3"/>
      <c r="EN82" s="3"/>
      <c r="EO82" s="3"/>
      <c r="EP82" s="3"/>
      <c r="EQ82" s="3"/>
      <c r="ER82" s="3"/>
      <c r="ES82" s="3"/>
      <c r="ET82" s="3"/>
      <c r="EU82" s="3"/>
      <c r="EV82" s="3"/>
      <c r="EW82" s="3"/>
      <c r="EX82" s="3"/>
      <c r="EY82" s="3"/>
      <c r="EZ82" s="3"/>
      <c r="FA82" s="3"/>
      <c r="FB82" s="3"/>
      <c r="FC82" s="3"/>
      <c r="FD82" s="3"/>
      <c r="FE82" s="3"/>
      <c r="FF82" s="3"/>
      <c r="FG82" s="3"/>
      <c r="FH82" s="3"/>
      <c r="FI82" s="3"/>
      <c r="FJ82" s="3"/>
      <c r="FK82" s="3"/>
      <c r="FL82" s="3"/>
      <c r="FM82" s="3"/>
      <c r="FN82" s="3"/>
      <c r="FO82" s="3"/>
      <c r="FP82" s="3"/>
      <c r="FQ82" s="3"/>
      <c r="FR82" s="3"/>
      <c r="FS82" s="3"/>
      <c r="FT82" s="3"/>
      <c r="FU82" s="3"/>
      <c r="FV82" s="3"/>
      <c r="FW82" s="3"/>
      <c r="FX82" s="3"/>
      <c r="FY82" s="3"/>
      <c r="FZ82" s="3"/>
      <c r="GA82" s="3"/>
      <c r="GB82" s="3"/>
      <c r="GC82" s="3"/>
      <c r="GD82" s="3"/>
      <c r="GE82" s="3"/>
      <c r="GF82" s="3"/>
      <c r="GG82" s="3"/>
      <c r="GH82" s="3"/>
      <c r="GI82" s="3"/>
      <c r="GJ82" s="3"/>
      <c r="GK82" s="3"/>
      <c r="GL82" s="3"/>
      <c r="GM82" s="3"/>
      <c r="GN82" s="3"/>
      <c r="GO82" s="3"/>
      <c r="GP82" s="3"/>
      <c r="GQ82" s="3"/>
      <c r="GR82" s="3"/>
      <c r="GS82" s="3"/>
      <c r="GT82" s="3"/>
      <c r="GU82" s="3"/>
      <c r="GV82" s="3"/>
      <c r="GW82" s="3"/>
      <c r="GX82" s="3"/>
      <c r="GY82" s="3"/>
      <c r="GZ82" s="3"/>
      <c r="HA82" s="3"/>
      <c r="HB82" s="3"/>
      <c r="HC82" s="3"/>
      <c r="HD82" s="3"/>
      <c r="HE82" s="3"/>
      <c r="HF82" s="3"/>
      <c r="HG82" s="3"/>
      <c r="HH82" s="3"/>
      <c r="HI82" s="3"/>
      <c r="HJ82" s="3"/>
      <c r="HK82" s="3"/>
      <c r="HL82" s="3"/>
      <c r="HM82" s="3"/>
      <c r="HN82" s="3"/>
      <c r="HO82" s="3"/>
      <c r="HP82" s="3"/>
      <c r="HQ82" s="3"/>
      <c r="HR82" s="3"/>
      <c r="HS82" s="3"/>
      <c r="HT82" s="3"/>
      <c r="HU82" s="3"/>
      <c r="HV82" s="3"/>
      <c r="HW82" s="3"/>
    </row>
    <row r="83" spans="1:1351" x14ac:dyDescent="0.25">
      <c r="A83" s="26" t="s">
        <v>111</v>
      </c>
      <c r="B83" s="27"/>
      <c r="C83" s="10">
        <f>AVERAGE(logistics!B4:K4)</f>
        <v>8.6348700000000002E-5</v>
      </c>
      <c r="D83" s="11">
        <f>AVERAGE(logistics!B33:K33)</f>
        <v>1.1102700000000001E-5</v>
      </c>
      <c r="E83" s="15">
        <f t="shared" si="2"/>
        <v>1.5442774552238347</v>
      </c>
      <c r="F83" s="15">
        <f t="shared" si="3"/>
        <v>6.7772703936880214</v>
      </c>
      <c r="G83" s="10" t="s">
        <v>89</v>
      </c>
      <c r="H83" s="18">
        <v>1.6568856758772927</v>
      </c>
      <c r="I83" s="3"/>
      <c r="J83" s="10" t="s">
        <v>89</v>
      </c>
      <c r="K83" s="18">
        <v>9.6579219192536225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  <c r="DK83" s="3"/>
      <c r="DL83" s="3"/>
      <c r="DM83" s="3"/>
      <c r="DN83" s="3"/>
      <c r="DO83" s="3"/>
      <c r="DP83" s="3"/>
      <c r="DQ83" s="3"/>
      <c r="DR83" s="3"/>
      <c r="DS83" s="3"/>
      <c r="DT83" s="3"/>
      <c r="DU83" s="3"/>
      <c r="DV83" s="3"/>
      <c r="DW83" s="3"/>
      <c r="DX83" s="3"/>
      <c r="DY83" s="3"/>
      <c r="DZ83" s="3"/>
      <c r="EA83" s="3"/>
      <c r="EB83" s="3"/>
      <c r="EC83" s="3"/>
      <c r="ED83" s="3"/>
      <c r="EE83" s="3"/>
      <c r="EF83" s="3"/>
      <c r="EG83" s="3"/>
      <c r="EH83" s="3"/>
      <c r="EI83" s="3"/>
      <c r="EJ83" s="3"/>
      <c r="EK83" s="3"/>
      <c r="EL83" s="3"/>
      <c r="EM83" s="3"/>
      <c r="EN83" s="3"/>
      <c r="EO83" s="3"/>
      <c r="EP83" s="3"/>
      <c r="EQ83" s="3"/>
      <c r="ER83" s="3"/>
      <c r="ES83" s="3"/>
      <c r="ET83" s="3"/>
      <c r="EU83" s="3"/>
      <c r="EV83" s="3"/>
      <c r="EW83" s="3"/>
      <c r="EX83" s="3"/>
      <c r="EY83" s="3"/>
      <c r="EZ83" s="3"/>
      <c r="FA83" s="3"/>
      <c r="FB83" s="3"/>
      <c r="FC83" s="3"/>
      <c r="FD83" s="3"/>
      <c r="FE83" s="3"/>
      <c r="FF83" s="3"/>
      <c r="FG83" s="3"/>
      <c r="FH83" s="3"/>
      <c r="FI83" s="3"/>
      <c r="FJ83" s="3"/>
      <c r="FK83" s="3"/>
      <c r="FL83" s="3"/>
      <c r="FM83" s="3"/>
      <c r="FN83" s="3"/>
      <c r="FO83" s="3"/>
      <c r="FP83" s="3"/>
      <c r="FQ83" s="3"/>
      <c r="FR83" s="3"/>
      <c r="FS83" s="3"/>
      <c r="FT83" s="3"/>
      <c r="FU83" s="3"/>
      <c r="FV83" s="3"/>
      <c r="FW83" s="3"/>
      <c r="FX83" s="3"/>
      <c r="FY83" s="3"/>
      <c r="FZ83" s="3"/>
      <c r="GA83" s="3"/>
      <c r="GB83" s="3"/>
      <c r="GC83" s="3"/>
      <c r="GD83" s="3"/>
      <c r="GE83" s="3"/>
      <c r="GF83" s="3"/>
      <c r="GG83" s="3"/>
      <c r="GH83" s="3"/>
      <c r="GI83" s="3"/>
      <c r="GJ83" s="3"/>
      <c r="GK83" s="3"/>
      <c r="GL83" s="3"/>
      <c r="GM83" s="3"/>
      <c r="GN83" s="3"/>
      <c r="GO83" s="3"/>
      <c r="GP83" s="3"/>
      <c r="GQ83" s="3"/>
      <c r="GR83" s="3"/>
      <c r="GS83" s="3"/>
      <c r="GT83" s="3"/>
      <c r="GU83" s="3"/>
      <c r="GV83" s="3"/>
      <c r="GW83" s="3"/>
      <c r="GX83" s="3"/>
      <c r="GY83" s="3"/>
      <c r="GZ83" s="3"/>
      <c r="HA83" s="3"/>
      <c r="HB83" s="3"/>
      <c r="HC83" s="3"/>
      <c r="HD83" s="3"/>
      <c r="HE83" s="3"/>
      <c r="HF83" s="3"/>
      <c r="HG83" s="3"/>
      <c r="HH83" s="3"/>
      <c r="HI83" s="3"/>
      <c r="HJ83" s="3"/>
      <c r="HK83" s="3"/>
      <c r="HL83" s="3"/>
      <c r="HM83" s="3"/>
      <c r="HN83" s="3"/>
      <c r="HO83" s="3"/>
      <c r="HP83" s="3"/>
      <c r="HQ83" s="3"/>
      <c r="HR83" s="3"/>
      <c r="HS83" s="3"/>
      <c r="HT83" s="3"/>
      <c r="HU83" s="3"/>
      <c r="HV83" s="3"/>
      <c r="HW83" s="3"/>
      <c r="HX83" s="3"/>
      <c r="HY83" s="3"/>
      <c r="HZ83" s="3"/>
      <c r="IA83" s="3"/>
      <c r="IB83" s="3"/>
      <c r="IC83" s="3"/>
      <c r="ID83" s="3"/>
      <c r="IE83" s="3"/>
      <c r="IF83" s="3"/>
      <c r="IG83" s="3"/>
      <c r="IH83" s="3"/>
      <c r="II83" s="3"/>
      <c r="IJ83" s="3"/>
      <c r="IK83" s="3"/>
      <c r="IL83" s="3"/>
      <c r="IM83" s="3"/>
      <c r="IN83" s="3"/>
      <c r="IO83" s="3"/>
      <c r="IP83" s="3"/>
      <c r="IQ83" s="3"/>
      <c r="IR83" s="3"/>
      <c r="IS83" s="3"/>
      <c r="IT83" s="3"/>
      <c r="IU83" s="3"/>
      <c r="IV83" s="3"/>
      <c r="IW83" s="3"/>
      <c r="IX83" s="3"/>
      <c r="IY83" s="3"/>
      <c r="IZ83" s="3"/>
      <c r="JA83" s="3"/>
      <c r="JB83" s="3"/>
      <c r="JC83" s="3"/>
      <c r="JD83" s="3"/>
      <c r="JE83" s="3"/>
      <c r="JF83" s="3"/>
      <c r="JG83" s="3"/>
      <c r="JH83" s="3"/>
      <c r="JI83" s="3"/>
      <c r="JJ83" s="3"/>
      <c r="JK83" s="3"/>
      <c r="JL83" s="3"/>
      <c r="JM83" s="3"/>
      <c r="JN83" s="3"/>
      <c r="JO83" s="3"/>
      <c r="JP83" s="3"/>
      <c r="JQ83" s="3"/>
      <c r="JR83" s="3"/>
      <c r="JS83" s="3"/>
      <c r="JT83" s="3"/>
      <c r="JU83" s="3"/>
      <c r="JV83" s="3"/>
      <c r="JW83" s="3"/>
      <c r="JX83" s="3"/>
      <c r="JY83" s="3"/>
      <c r="JZ83" s="3"/>
      <c r="KA83" s="3"/>
      <c r="KB83" s="3"/>
      <c r="KC83" s="3"/>
      <c r="KD83" s="3"/>
      <c r="KE83" s="3"/>
      <c r="KF83" s="3"/>
      <c r="KG83" s="3"/>
      <c r="KH83" s="3"/>
      <c r="KI83" s="3"/>
      <c r="KJ83" s="3"/>
      <c r="KK83" s="3"/>
      <c r="KL83" s="3"/>
      <c r="KM83" s="3"/>
      <c r="KN83" s="3"/>
      <c r="KO83" s="3"/>
      <c r="KP83" s="3"/>
      <c r="KQ83" s="3"/>
      <c r="KR83" s="3"/>
      <c r="KS83" s="3"/>
      <c r="KT83" s="3"/>
      <c r="KU83" s="3"/>
      <c r="KV83" s="3"/>
      <c r="KW83" s="3"/>
      <c r="KX83" s="3"/>
      <c r="KY83" s="3"/>
    </row>
    <row r="84" spans="1:1351" x14ac:dyDescent="0.25">
      <c r="A84" s="26" t="s">
        <v>112</v>
      </c>
      <c r="B84" s="27"/>
      <c r="C84" s="10">
        <f>AVERAGE(logistics!B5:K5)</f>
        <v>7.7531699999999995E-5</v>
      </c>
      <c r="D84" s="11">
        <f>AVERAGE(logistics!B34:K34)</f>
        <v>8.2105000000000021E-6</v>
      </c>
      <c r="E84" s="15">
        <f t="shared" si="2"/>
        <v>1.6169680740638799</v>
      </c>
      <c r="F84" s="15">
        <f t="shared" si="3"/>
        <v>8.4429937275439961</v>
      </c>
      <c r="G84" s="6" t="s">
        <v>82</v>
      </c>
      <c r="H84" s="18">
        <v>1.6584161928163954</v>
      </c>
      <c r="I84" s="3"/>
      <c r="J84" s="6" t="s">
        <v>82</v>
      </c>
      <c r="K84" s="18">
        <v>9.7101569684477536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  <c r="DK84" s="3"/>
      <c r="DL84" s="3"/>
      <c r="DM84" s="3"/>
      <c r="DN84" s="3"/>
      <c r="DO84" s="3"/>
      <c r="DP84" s="3"/>
      <c r="DQ84" s="3"/>
      <c r="DR84" s="3"/>
      <c r="DS84" s="3"/>
      <c r="DT84" s="3"/>
      <c r="DU84" s="3"/>
      <c r="DV84" s="3"/>
      <c r="DW84" s="3"/>
      <c r="DX84" s="3"/>
      <c r="DY84" s="3"/>
      <c r="DZ84" s="3"/>
      <c r="EA84" s="3"/>
      <c r="EB84" s="3"/>
      <c r="EC84" s="3"/>
      <c r="ED84" s="3"/>
      <c r="EE84" s="3"/>
      <c r="EF84" s="3"/>
      <c r="EG84" s="3"/>
      <c r="EH84" s="3"/>
      <c r="EI84" s="3"/>
      <c r="EJ84" s="3"/>
      <c r="EK84" s="3"/>
      <c r="EL84" s="3"/>
      <c r="EM84" s="3"/>
      <c r="EN84" s="3"/>
      <c r="EO84" s="3"/>
      <c r="EP84" s="3"/>
      <c r="EQ84" s="3"/>
      <c r="ER84" s="3"/>
      <c r="ES84" s="3"/>
      <c r="ET84" s="3"/>
      <c r="EU84" s="3"/>
      <c r="EV84" s="3"/>
      <c r="EW84" s="3"/>
      <c r="EX84" s="3"/>
      <c r="EY84" s="3"/>
      <c r="EZ84" s="3"/>
      <c r="FA84" s="3"/>
      <c r="FB84" s="3"/>
      <c r="FC84" s="3"/>
      <c r="FD84" s="3"/>
      <c r="FE84" s="3"/>
      <c r="FF84" s="3"/>
      <c r="FG84" s="3"/>
      <c r="FH84" s="3"/>
      <c r="FI84" s="3"/>
      <c r="FJ84" s="3"/>
      <c r="FK84" s="3"/>
      <c r="FL84" s="3"/>
      <c r="FM84" s="3"/>
      <c r="FN84" s="3"/>
      <c r="FO84" s="3"/>
      <c r="FP84" s="3"/>
      <c r="FQ84" s="3"/>
      <c r="FR84" s="3"/>
      <c r="FS84" s="3"/>
      <c r="FT84" s="3"/>
      <c r="FU84" s="3"/>
      <c r="FV84" s="3"/>
      <c r="FW84" s="3"/>
      <c r="FX84" s="3"/>
      <c r="FY84" s="3"/>
      <c r="FZ84" s="3"/>
      <c r="GA84" s="3"/>
      <c r="GB84" s="3"/>
      <c r="GC84" s="3"/>
      <c r="GD84" s="3"/>
      <c r="GE84" s="3"/>
      <c r="GF84" s="3"/>
      <c r="GG84" s="3"/>
      <c r="GH84" s="3"/>
      <c r="GI84" s="3"/>
      <c r="GJ84" s="3"/>
      <c r="GK84" s="3"/>
      <c r="GL84" s="3"/>
      <c r="GM84" s="3"/>
      <c r="GN84" s="3"/>
      <c r="GO84" s="3"/>
      <c r="GP84" s="3"/>
      <c r="GQ84" s="3"/>
      <c r="GR84" s="3"/>
      <c r="GS84" s="3"/>
      <c r="GT84" s="3"/>
      <c r="GU84" s="3"/>
      <c r="GV84" s="3"/>
      <c r="GW84" s="3"/>
      <c r="GX84" s="3"/>
      <c r="GY84" s="3"/>
      <c r="GZ84" s="3"/>
      <c r="HA84" s="3"/>
      <c r="HB84" s="3"/>
      <c r="HC84" s="3"/>
      <c r="HD84" s="3"/>
      <c r="HE84" s="3"/>
      <c r="HF84" s="3"/>
      <c r="HG84" s="3"/>
      <c r="HH84" s="3"/>
      <c r="HI84" s="3"/>
      <c r="HJ84" s="3"/>
      <c r="HK84" s="3"/>
      <c r="HL84" s="3"/>
      <c r="HM84" s="3"/>
      <c r="HN84" s="3"/>
      <c r="HO84" s="3"/>
      <c r="HP84" s="3"/>
      <c r="HQ84" s="3"/>
      <c r="HR84" s="3"/>
      <c r="HS84" s="3"/>
      <c r="HT84" s="3"/>
      <c r="HU84" s="3"/>
      <c r="HV84" s="3"/>
      <c r="HW84" s="3"/>
      <c r="HX84" s="3"/>
      <c r="HY84" s="3"/>
      <c r="HZ84" s="3"/>
      <c r="IA84" s="3"/>
      <c r="IB84" s="3"/>
      <c r="IC84" s="3"/>
      <c r="ID84" s="3"/>
      <c r="IE84" s="3"/>
      <c r="IF84" s="3"/>
      <c r="IG84" s="3"/>
      <c r="IH84" s="3"/>
      <c r="II84" s="3"/>
      <c r="IJ84" s="3"/>
      <c r="IK84" s="3"/>
      <c r="IL84" s="3"/>
      <c r="IM84" s="3"/>
      <c r="IN84" s="3"/>
      <c r="IO84" s="3"/>
      <c r="IP84" s="3"/>
      <c r="IQ84" s="3"/>
      <c r="IR84" s="3"/>
      <c r="IS84" s="3"/>
      <c r="IT84" s="3"/>
      <c r="IU84" s="3"/>
      <c r="IV84" s="3"/>
      <c r="IW84" s="3"/>
      <c r="IX84" s="3"/>
      <c r="IY84" s="3"/>
      <c r="IZ84" s="3"/>
      <c r="JA84" s="3"/>
      <c r="JB84" s="3"/>
      <c r="JC84" s="3"/>
      <c r="JD84" s="3"/>
      <c r="JE84" s="3"/>
      <c r="JF84" s="3"/>
      <c r="JG84" s="3"/>
      <c r="JH84" s="3"/>
      <c r="JI84" s="3"/>
      <c r="JJ84" s="3"/>
      <c r="JK84" s="3"/>
      <c r="JL84" s="3"/>
      <c r="JM84" s="3"/>
      <c r="JN84" s="3"/>
      <c r="JO84" s="3"/>
      <c r="JP84" s="3"/>
      <c r="JQ84" s="3"/>
      <c r="JR84" s="3"/>
      <c r="JS84" s="3"/>
      <c r="JT84" s="3"/>
      <c r="JU84" s="3"/>
      <c r="JV84" s="3"/>
      <c r="JW84" s="3"/>
      <c r="JX84" s="3"/>
      <c r="JY84" s="3"/>
      <c r="JZ84" s="3"/>
      <c r="KA84" s="3"/>
      <c r="KB84" s="3"/>
      <c r="KC84" s="3"/>
      <c r="KD84" s="3"/>
      <c r="KE84" s="3"/>
      <c r="KF84" s="3"/>
      <c r="KG84" s="3"/>
      <c r="KH84" s="3"/>
      <c r="KI84" s="3"/>
      <c r="KJ84" s="3"/>
      <c r="KK84" s="3"/>
      <c r="KL84" s="3"/>
      <c r="KM84" s="3"/>
      <c r="KN84" s="3"/>
      <c r="KO84" s="3"/>
      <c r="KP84" s="3"/>
      <c r="KQ84" s="3"/>
      <c r="KR84" s="3"/>
      <c r="KS84" s="3"/>
      <c r="KT84" s="3"/>
      <c r="KU84" s="3"/>
      <c r="KV84" s="3"/>
      <c r="KW84" s="3"/>
      <c r="KX84" s="3"/>
      <c r="KY84" s="3"/>
      <c r="KZ84" s="3"/>
      <c r="LA84" s="3"/>
      <c r="LB84" s="3"/>
      <c r="LC84" s="3"/>
      <c r="LD84" s="3"/>
      <c r="LE84" s="3"/>
      <c r="LF84" s="3"/>
      <c r="LG84" s="3"/>
      <c r="LH84" s="3"/>
      <c r="LI84" s="3"/>
      <c r="LJ84" s="3"/>
      <c r="LK84" s="3"/>
      <c r="LL84" s="3"/>
      <c r="LM84" s="3"/>
      <c r="LN84" s="3"/>
      <c r="LO84" s="3"/>
      <c r="LP84" s="3"/>
      <c r="LQ84" s="3"/>
      <c r="LR84" s="3"/>
      <c r="LS84" s="3"/>
      <c r="LT84" s="3"/>
      <c r="LU84" s="3"/>
      <c r="LV84" s="3"/>
      <c r="LW84" s="3"/>
      <c r="LX84" s="3"/>
      <c r="LY84" s="3"/>
      <c r="LZ84" s="3"/>
      <c r="MA84" s="3"/>
      <c r="MB84" s="3"/>
      <c r="MC84" s="3"/>
      <c r="MD84" s="3"/>
      <c r="ME84" s="3"/>
      <c r="MF84" s="3"/>
      <c r="MG84" s="3"/>
      <c r="MH84" s="3"/>
      <c r="MI84" s="3"/>
      <c r="MJ84" s="3"/>
      <c r="MK84" s="3"/>
      <c r="ML84" s="3"/>
      <c r="MM84" s="3"/>
      <c r="MN84" s="3"/>
      <c r="MO84" s="3"/>
      <c r="MP84" s="3"/>
      <c r="MQ84" s="3"/>
      <c r="MR84" s="3"/>
      <c r="MS84" s="3"/>
      <c r="MT84" s="3"/>
      <c r="MU84" s="3"/>
      <c r="MV84" s="3"/>
      <c r="MW84" s="3"/>
      <c r="MX84" s="3"/>
      <c r="MY84" s="3"/>
      <c r="MZ84" s="3"/>
      <c r="NA84" s="3"/>
      <c r="NB84" s="3"/>
      <c r="NC84" s="3"/>
      <c r="ND84" s="3"/>
      <c r="NE84" s="3"/>
      <c r="NF84" s="3"/>
      <c r="NG84" s="3"/>
      <c r="NH84" s="3"/>
      <c r="NI84" s="3"/>
      <c r="NJ84" s="3"/>
      <c r="NK84" s="3"/>
      <c r="NL84" s="3"/>
      <c r="NM84" s="3"/>
      <c r="NN84" s="3"/>
      <c r="NO84" s="3"/>
      <c r="NP84" s="3"/>
      <c r="NQ84" s="3"/>
      <c r="NR84" s="3"/>
      <c r="NS84" s="3"/>
      <c r="NT84" s="3"/>
      <c r="NU84" s="3"/>
      <c r="NV84" s="3"/>
      <c r="NW84" s="3"/>
      <c r="NX84" s="3"/>
      <c r="NY84" s="3"/>
      <c r="NZ84" s="3"/>
      <c r="OA84" s="3"/>
    </row>
    <row r="85" spans="1:1351" x14ac:dyDescent="0.25">
      <c r="A85" s="26" t="s">
        <v>113</v>
      </c>
      <c r="B85" s="27"/>
      <c r="C85" s="10">
        <f>AVERAGE(logistics!B6:K6)</f>
        <v>5.5186599999999991E-5</v>
      </c>
      <c r="D85" s="11">
        <f>AVERAGE(logistics!B35:K35)</f>
        <v>5.0383999999999991E-6</v>
      </c>
      <c r="E85" s="15">
        <f t="shared" si="2"/>
        <v>1.6653615608136159</v>
      </c>
      <c r="F85" s="15">
        <f t="shared" si="3"/>
        <v>9.9531994283899667</v>
      </c>
      <c r="G85" s="6" t="s">
        <v>86</v>
      </c>
      <c r="H85" s="18">
        <v>1.6589784632907991</v>
      </c>
      <c r="I85" s="3"/>
      <c r="J85" s="6" t="s">
        <v>86</v>
      </c>
      <c r="K85" s="18">
        <v>9.7294644748812953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  <c r="DK85" s="3"/>
      <c r="DL85" s="3"/>
      <c r="DM85" s="3"/>
      <c r="DN85" s="3"/>
      <c r="DO85" s="3"/>
      <c r="DP85" s="3"/>
      <c r="DQ85" s="3"/>
      <c r="DR85" s="3"/>
      <c r="DS85" s="3"/>
      <c r="DT85" s="3"/>
      <c r="DU85" s="3"/>
      <c r="DV85" s="3"/>
      <c r="DW85" s="3"/>
      <c r="DX85" s="3"/>
      <c r="DY85" s="3"/>
      <c r="DZ85" s="3"/>
      <c r="EA85" s="3"/>
      <c r="EB85" s="3"/>
      <c r="EC85" s="3"/>
      <c r="ED85" s="3"/>
      <c r="EE85" s="3"/>
      <c r="EF85" s="3"/>
      <c r="EG85" s="3"/>
      <c r="EH85" s="3"/>
      <c r="EI85" s="3"/>
      <c r="EJ85" s="3"/>
      <c r="EK85" s="3"/>
      <c r="EL85" s="3"/>
      <c r="EM85" s="3"/>
      <c r="EN85" s="3"/>
      <c r="EO85" s="3"/>
      <c r="EP85" s="3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  <c r="FH85" s="3"/>
      <c r="FI85" s="3"/>
      <c r="FJ85" s="3"/>
      <c r="FK85" s="3"/>
      <c r="FL85" s="3"/>
      <c r="FM85" s="3"/>
      <c r="FN85" s="3"/>
      <c r="FO85" s="3"/>
      <c r="FP85" s="3"/>
      <c r="FQ85" s="3"/>
      <c r="FR85" s="3"/>
      <c r="FS85" s="3"/>
      <c r="FT85" s="3"/>
      <c r="FU85" s="3"/>
      <c r="FV85" s="3"/>
      <c r="FW85" s="3"/>
      <c r="FX85" s="3"/>
      <c r="FY85" s="3"/>
      <c r="FZ85" s="3"/>
      <c r="GA85" s="3"/>
      <c r="GB85" s="3"/>
      <c r="GC85" s="3"/>
      <c r="GD85" s="3"/>
      <c r="GE85" s="3"/>
      <c r="GF85" s="3"/>
      <c r="GG85" s="3"/>
      <c r="GH85" s="3"/>
      <c r="GI85" s="3"/>
      <c r="GJ85" s="3"/>
      <c r="GK85" s="3"/>
      <c r="GL85" s="3"/>
      <c r="GM85" s="3"/>
      <c r="GN85" s="3"/>
      <c r="GO85" s="3"/>
      <c r="GP85" s="3"/>
      <c r="GQ85" s="3"/>
      <c r="GR85" s="3"/>
      <c r="GS85" s="3"/>
      <c r="GT85" s="3"/>
      <c r="GU85" s="3"/>
      <c r="GV85" s="3"/>
      <c r="GW85" s="3"/>
      <c r="GX85" s="3"/>
      <c r="GY85" s="3"/>
      <c r="GZ85" s="3"/>
      <c r="HA85" s="3"/>
      <c r="HB85" s="3"/>
      <c r="HC85" s="3"/>
      <c r="HD85" s="3"/>
      <c r="HE85" s="3"/>
      <c r="HF85" s="3"/>
      <c r="HG85" s="3"/>
      <c r="HH85" s="3"/>
      <c r="HI85" s="3"/>
      <c r="HJ85" s="3"/>
      <c r="HK85" s="3"/>
      <c r="HL85" s="3"/>
      <c r="HM85" s="3"/>
      <c r="HN85" s="3"/>
      <c r="HO85" s="3"/>
      <c r="HP85" s="3"/>
      <c r="HQ85" s="3"/>
      <c r="HR85" s="3"/>
      <c r="HS85" s="3"/>
      <c r="HT85" s="3"/>
      <c r="HU85" s="3"/>
      <c r="HV85" s="3"/>
      <c r="HW85" s="3"/>
      <c r="HX85" s="3"/>
      <c r="HY85" s="3"/>
      <c r="HZ85" s="3"/>
      <c r="IA85" s="3"/>
      <c r="IB85" s="3"/>
      <c r="IC85" s="3"/>
      <c r="ID85" s="3"/>
      <c r="IE85" s="3"/>
      <c r="IF85" s="3"/>
      <c r="IG85" s="3"/>
      <c r="IH85" s="3"/>
      <c r="II85" s="3"/>
      <c r="IJ85" s="3"/>
      <c r="IK85" s="3"/>
      <c r="IL85" s="3"/>
      <c r="IM85" s="3"/>
      <c r="IN85" s="3"/>
      <c r="IO85" s="3"/>
      <c r="IP85" s="3"/>
      <c r="IQ85" s="3"/>
      <c r="IR85" s="3"/>
      <c r="IS85" s="3"/>
      <c r="IT85" s="3"/>
      <c r="IU85" s="3"/>
      <c r="IV85" s="3"/>
      <c r="IW85" s="3"/>
      <c r="IX85" s="3"/>
      <c r="IY85" s="3"/>
      <c r="IZ85" s="3"/>
      <c r="JA85" s="3"/>
      <c r="JB85" s="3"/>
      <c r="JC85" s="3"/>
      <c r="JD85" s="3"/>
      <c r="JE85" s="3"/>
      <c r="JF85" s="3"/>
      <c r="JG85" s="3"/>
      <c r="JH85" s="3"/>
      <c r="JI85" s="3"/>
      <c r="JJ85" s="3"/>
      <c r="JK85" s="3"/>
      <c r="JL85" s="3"/>
      <c r="JM85" s="3"/>
      <c r="JN85" s="3"/>
      <c r="JO85" s="3"/>
      <c r="JP85" s="3"/>
      <c r="JQ85" s="3"/>
      <c r="JR85" s="3"/>
      <c r="JS85" s="3"/>
      <c r="JT85" s="3"/>
      <c r="JU85" s="3"/>
      <c r="JV85" s="3"/>
      <c r="JW85" s="3"/>
      <c r="JX85" s="3"/>
      <c r="JY85" s="3"/>
      <c r="JZ85" s="3"/>
      <c r="KA85" s="3"/>
      <c r="KB85" s="3"/>
      <c r="KC85" s="3"/>
      <c r="KD85" s="3"/>
      <c r="KE85" s="3"/>
      <c r="KF85" s="3"/>
      <c r="KG85" s="3"/>
      <c r="KH85" s="3"/>
      <c r="KI85" s="3"/>
      <c r="KJ85" s="3"/>
      <c r="KK85" s="3"/>
      <c r="KL85" s="3"/>
      <c r="KM85" s="3"/>
      <c r="KN85" s="3"/>
      <c r="KO85" s="3"/>
      <c r="KP85" s="3"/>
      <c r="KQ85" s="3"/>
      <c r="KR85" s="3"/>
      <c r="KS85" s="3"/>
      <c r="KT85" s="3"/>
      <c r="KU85" s="3"/>
      <c r="KV85" s="3"/>
      <c r="KW85" s="3"/>
      <c r="KX85" s="3"/>
      <c r="KY85" s="3"/>
      <c r="KZ85" s="3"/>
      <c r="LA85" s="3"/>
      <c r="LB85" s="3"/>
      <c r="LC85" s="3"/>
      <c r="LD85" s="3"/>
      <c r="LE85" s="3"/>
      <c r="LF85" s="3"/>
      <c r="LG85" s="3"/>
      <c r="LH85" s="3"/>
      <c r="LI85" s="3"/>
      <c r="LJ85" s="3"/>
      <c r="LK85" s="3"/>
      <c r="LL85" s="3"/>
      <c r="LM85" s="3"/>
      <c r="LN85" s="3"/>
      <c r="LO85" s="3"/>
      <c r="LP85" s="3"/>
      <c r="LQ85" s="3"/>
      <c r="LR85" s="3"/>
      <c r="LS85" s="3"/>
      <c r="LT85" s="3"/>
      <c r="LU85" s="3"/>
      <c r="LV85" s="3"/>
      <c r="LW85" s="3"/>
      <c r="LX85" s="3"/>
      <c r="LY85" s="3"/>
      <c r="LZ85" s="3"/>
      <c r="MA85" s="3"/>
      <c r="MB85" s="3"/>
      <c r="MC85" s="3"/>
      <c r="MD85" s="3"/>
      <c r="ME85" s="3"/>
      <c r="MF85" s="3"/>
      <c r="MG85" s="3"/>
      <c r="MH85" s="3"/>
      <c r="MI85" s="3"/>
      <c r="MJ85" s="3"/>
      <c r="MK85" s="3"/>
      <c r="ML85" s="3"/>
      <c r="MM85" s="3"/>
      <c r="MN85" s="3"/>
      <c r="MO85" s="3"/>
      <c r="MP85" s="3"/>
      <c r="MQ85" s="3"/>
      <c r="MR85" s="3"/>
      <c r="MS85" s="3"/>
      <c r="MT85" s="3"/>
      <c r="MU85" s="3"/>
      <c r="MV85" s="3"/>
      <c r="MW85" s="3"/>
      <c r="MX85" s="3"/>
      <c r="MY85" s="3"/>
      <c r="MZ85" s="3"/>
      <c r="NA85" s="3"/>
      <c r="NB85" s="3"/>
      <c r="NC85" s="3"/>
      <c r="ND85" s="3"/>
      <c r="NE85" s="3"/>
      <c r="NF85" s="3"/>
      <c r="NG85" s="3"/>
      <c r="NH85" s="3"/>
      <c r="NI85" s="3"/>
      <c r="NJ85" s="3"/>
      <c r="NK85" s="3"/>
      <c r="NL85" s="3"/>
      <c r="NM85" s="3"/>
      <c r="NN85" s="3"/>
      <c r="NO85" s="3"/>
      <c r="NP85" s="3"/>
      <c r="NQ85" s="3"/>
      <c r="NR85" s="3"/>
      <c r="NS85" s="3"/>
      <c r="NT85" s="3"/>
      <c r="NU85" s="3"/>
      <c r="NV85" s="3"/>
      <c r="NW85" s="3"/>
      <c r="NX85" s="3"/>
      <c r="NY85" s="3"/>
      <c r="NZ85" s="3"/>
      <c r="OA85" s="3"/>
      <c r="OB85" s="3"/>
      <c r="OC85" s="3"/>
      <c r="OD85" s="3"/>
      <c r="OE85" s="3"/>
      <c r="OF85" s="3"/>
      <c r="OG85" s="3"/>
      <c r="OH85" s="3"/>
      <c r="OI85" s="3"/>
      <c r="OJ85" s="3"/>
      <c r="OK85" s="3"/>
      <c r="OL85" s="3"/>
      <c r="OM85" s="3"/>
      <c r="ON85" s="3"/>
      <c r="OO85" s="3"/>
      <c r="OP85" s="3"/>
      <c r="OQ85" s="3"/>
      <c r="OR85" s="3"/>
      <c r="OS85" s="3"/>
      <c r="OT85" s="3"/>
      <c r="OU85" s="3"/>
      <c r="OV85" s="3"/>
      <c r="OW85" s="3"/>
      <c r="OX85" s="3"/>
      <c r="OY85" s="3"/>
      <c r="OZ85" s="3"/>
      <c r="PA85" s="3"/>
      <c r="PB85" s="3"/>
      <c r="PC85" s="3"/>
      <c r="PD85" s="3"/>
      <c r="PE85" s="3"/>
      <c r="PF85" s="3"/>
      <c r="PG85" s="3"/>
      <c r="PH85" s="3"/>
      <c r="PI85" s="3"/>
      <c r="PJ85" s="3"/>
      <c r="PK85" s="3"/>
      <c r="PL85" s="3"/>
      <c r="PM85" s="3"/>
      <c r="PN85" s="3"/>
      <c r="PO85" s="3"/>
      <c r="PP85" s="3"/>
      <c r="PQ85" s="3"/>
      <c r="PR85" s="3"/>
      <c r="PS85" s="3"/>
      <c r="PT85" s="3"/>
      <c r="PU85" s="3"/>
      <c r="PV85" s="3"/>
      <c r="PW85" s="3"/>
      <c r="PX85" s="3"/>
      <c r="PY85" s="3"/>
      <c r="PZ85" s="3"/>
      <c r="QA85" s="3"/>
      <c r="QB85" s="3"/>
      <c r="QC85" s="3"/>
      <c r="QD85" s="3"/>
      <c r="QE85" s="3"/>
      <c r="QF85" s="3"/>
      <c r="QG85" s="3"/>
      <c r="QH85" s="3"/>
      <c r="QI85" s="3"/>
      <c r="QJ85" s="3"/>
      <c r="QK85" s="3"/>
      <c r="QL85" s="3"/>
      <c r="QM85" s="3"/>
      <c r="QN85" s="3"/>
      <c r="QO85" s="3"/>
      <c r="QP85" s="3"/>
      <c r="QQ85" s="3"/>
      <c r="QR85" s="3"/>
      <c r="QS85" s="3"/>
      <c r="QT85" s="3"/>
      <c r="QU85" s="3"/>
      <c r="QV85" s="3"/>
      <c r="QW85" s="3"/>
      <c r="QX85" s="3"/>
      <c r="QY85" s="3"/>
      <c r="QZ85" s="3"/>
      <c r="RA85" s="3"/>
      <c r="RB85" s="3"/>
      <c r="RC85" s="3"/>
    </row>
    <row r="86" spans="1:1351" x14ac:dyDescent="0.25">
      <c r="A86" s="26" t="s">
        <v>114</v>
      </c>
      <c r="B86" s="27"/>
      <c r="C86" s="10">
        <f>AVERAGE(logistics!B7:K7)</f>
        <v>7.04879E-5</v>
      </c>
      <c r="D86" s="11">
        <f>AVERAGE(logistics!B36:K36)</f>
        <v>1.01696E-5</v>
      </c>
      <c r="E86" s="15">
        <f t="shared" si="2"/>
        <v>1.495665003254502</v>
      </c>
      <c r="F86" s="15">
        <f t="shared" si="3"/>
        <v>5.9312362334801767</v>
      </c>
      <c r="G86" s="10" t="s">
        <v>113</v>
      </c>
      <c r="H86" s="18">
        <v>1.6653615608136159</v>
      </c>
      <c r="I86" s="3"/>
      <c r="J86" s="10" t="s">
        <v>113</v>
      </c>
      <c r="K86" s="18">
        <v>9.9531994283899667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  <c r="DK86" s="3"/>
      <c r="DL86" s="3"/>
      <c r="DM86" s="3"/>
      <c r="DN86" s="3"/>
      <c r="DO86" s="3"/>
      <c r="DP86" s="3"/>
      <c r="DQ86" s="3"/>
      <c r="DR86" s="3"/>
      <c r="DS86" s="3"/>
      <c r="DT86" s="3"/>
      <c r="DU86" s="3"/>
      <c r="DV86" s="3"/>
      <c r="DW86" s="3"/>
      <c r="DX86" s="3"/>
      <c r="DY86" s="3"/>
      <c r="DZ86" s="3"/>
      <c r="EA86" s="3"/>
      <c r="EB86" s="3"/>
      <c r="EC86" s="3"/>
      <c r="ED86" s="3"/>
      <c r="EE86" s="3"/>
      <c r="EF86" s="3"/>
      <c r="EG86" s="3"/>
      <c r="EH86" s="3"/>
      <c r="EI86" s="3"/>
      <c r="EJ86" s="3"/>
      <c r="EK86" s="3"/>
      <c r="EL86" s="3"/>
      <c r="EM86" s="3"/>
      <c r="EN86" s="3"/>
      <c r="EO86" s="3"/>
      <c r="EP86" s="3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  <c r="FH86" s="3"/>
      <c r="FI86" s="3"/>
      <c r="FJ86" s="3"/>
      <c r="FK86" s="3"/>
      <c r="FL86" s="3"/>
      <c r="FM86" s="3"/>
      <c r="FN86" s="3"/>
      <c r="FO86" s="3"/>
      <c r="FP86" s="3"/>
      <c r="FQ86" s="3"/>
      <c r="FR86" s="3"/>
      <c r="FS86" s="3"/>
      <c r="FT86" s="3"/>
      <c r="FU86" s="3"/>
      <c r="FV86" s="3"/>
      <c r="FW86" s="3"/>
      <c r="FX86" s="3"/>
      <c r="FY86" s="3"/>
      <c r="FZ86" s="3"/>
      <c r="GA86" s="3"/>
      <c r="GB86" s="3"/>
      <c r="GC86" s="3"/>
      <c r="GD86" s="3"/>
      <c r="GE86" s="3"/>
      <c r="GF86" s="3"/>
      <c r="GG86" s="3"/>
      <c r="GH86" s="3"/>
      <c r="GI86" s="3"/>
      <c r="GJ86" s="3"/>
      <c r="GK86" s="3"/>
      <c r="GL86" s="3"/>
      <c r="GM86" s="3"/>
      <c r="GN86" s="3"/>
      <c r="GO86" s="3"/>
      <c r="GP86" s="3"/>
      <c r="GQ86" s="3"/>
      <c r="GR86" s="3"/>
      <c r="GS86" s="3"/>
      <c r="GT86" s="3"/>
      <c r="GU86" s="3"/>
      <c r="GV86" s="3"/>
      <c r="GW86" s="3"/>
      <c r="GX86" s="3"/>
      <c r="GY86" s="3"/>
      <c r="GZ86" s="3"/>
      <c r="HA86" s="3"/>
      <c r="HB86" s="3"/>
      <c r="HC86" s="3"/>
      <c r="HD86" s="3"/>
      <c r="HE86" s="3"/>
      <c r="HF86" s="3"/>
      <c r="HG86" s="3"/>
      <c r="HH86" s="3"/>
      <c r="HI86" s="3"/>
      <c r="HJ86" s="3"/>
      <c r="HK86" s="3"/>
      <c r="HL86" s="3"/>
      <c r="HM86" s="3"/>
      <c r="HN86" s="3"/>
      <c r="HO86" s="3"/>
      <c r="HP86" s="3"/>
      <c r="HQ86" s="3"/>
      <c r="HR86" s="3"/>
      <c r="HS86" s="3"/>
      <c r="HT86" s="3"/>
      <c r="HU86" s="3"/>
      <c r="HV86" s="3"/>
      <c r="HW86" s="3"/>
      <c r="HX86" s="3"/>
      <c r="HY86" s="3"/>
      <c r="HZ86" s="3"/>
      <c r="IA86" s="3"/>
      <c r="IB86" s="3"/>
      <c r="IC86" s="3"/>
      <c r="ID86" s="3"/>
      <c r="IE86" s="3"/>
      <c r="IF86" s="3"/>
      <c r="IG86" s="3"/>
      <c r="IH86" s="3"/>
      <c r="II86" s="3"/>
      <c r="IJ86" s="3"/>
      <c r="IK86" s="3"/>
      <c r="IL86" s="3"/>
      <c r="IM86" s="3"/>
      <c r="IN86" s="3"/>
      <c r="IO86" s="3"/>
      <c r="IP86" s="3"/>
      <c r="IQ86" s="3"/>
      <c r="IR86" s="3"/>
      <c r="IS86" s="3"/>
      <c r="IT86" s="3"/>
      <c r="IU86" s="3"/>
      <c r="IV86" s="3"/>
      <c r="IW86" s="3"/>
      <c r="IX86" s="3"/>
      <c r="IY86" s="3"/>
      <c r="IZ86" s="3"/>
      <c r="JA86" s="3"/>
      <c r="JB86" s="3"/>
      <c r="JC86" s="3"/>
      <c r="JD86" s="3"/>
      <c r="JE86" s="3"/>
      <c r="JF86" s="3"/>
      <c r="JG86" s="3"/>
      <c r="JH86" s="3"/>
      <c r="JI86" s="3"/>
      <c r="JJ86" s="3"/>
      <c r="JK86" s="3"/>
      <c r="JL86" s="3"/>
      <c r="JM86" s="3"/>
      <c r="JN86" s="3"/>
      <c r="JO86" s="3"/>
      <c r="JP86" s="3"/>
      <c r="JQ86" s="3"/>
      <c r="JR86" s="3"/>
      <c r="JS86" s="3"/>
      <c r="JT86" s="3"/>
      <c r="JU86" s="3"/>
      <c r="JV86" s="3"/>
      <c r="JW86" s="3"/>
      <c r="JX86" s="3"/>
      <c r="JY86" s="3"/>
      <c r="JZ86" s="3"/>
      <c r="KA86" s="3"/>
      <c r="KB86" s="3"/>
      <c r="KC86" s="3"/>
      <c r="KD86" s="3"/>
      <c r="KE86" s="3"/>
      <c r="KF86" s="3"/>
      <c r="KG86" s="3"/>
      <c r="KH86" s="3"/>
      <c r="KI86" s="3"/>
      <c r="KJ86" s="3"/>
      <c r="KK86" s="3"/>
      <c r="KL86" s="3"/>
      <c r="KM86" s="3"/>
      <c r="KN86" s="3"/>
      <c r="KO86" s="3"/>
      <c r="KP86" s="3"/>
      <c r="KQ86" s="3"/>
      <c r="KR86" s="3"/>
      <c r="KS86" s="3"/>
      <c r="KT86" s="3"/>
      <c r="KU86" s="3"/>
      <c r="KV86" s="3"/>
      <c r="KW86" s="3"/>
      <c r="KX86" s="3"/>
      <c r="KY86" s="3"/>
      <c r="KZ86" s="3"/>
      <c r="LA86" s="3"/>
      <c r="LB86" s="3"/>
      <c r="LC86" s="3"/>
      <c r="LD86" s="3"/>
      <c r="LE86" s="3"/>
      <c r="LF86" s="3"/>
      <c r="LG86" s="3"/>
      <c r="LH86" s="3"/>
      <c r="LI86" s="3"/>
      <c r="LJ86" s="3"/>
      <c r="LK86" s="3"/>
      <c r="LL86" s="3"/>
      <c r="LM86" s="3"/>
      <c r="LN86" s="3"/>
      <c r="LO86" s="3"/>
      <c r="LP86" s="3"/>
      <c r="LQ86" s="3"/>
      <c r="LR86" s="3"/>
      <c r="LS86" s="3"/>
      <c r="LT86" s="3"/>
      <c r="LU86" s="3"/>
      <c r="LV86" s="3"/>
      <c r="LW86" s="3"/>
      <c r="LX86" s="3"/>
      <c r="LY86" s="3"/>
      <c r="LZ86" s="3"/>
      <c r="MA86" s="3"/>
      <c r="MB86" s="3"/>
      <c r="MC86" s="3"/>
      <c r="MD86" s="3"/>
      <c r="ME86" s="3"/>
      <c r="MF86" s="3"/>
      <c r="MG86" s="3"/>
      <c r="MH86" s="3"/>
      <c r="MI86" s="3"/>
      <c r="MJ86" s="3"/>
      <c r="MK86" s="3"/>
      <c r="ML86" s="3"/>
      <c r="MM86" s="3"/>
      <c r="MN86" s="3"/>
      <c r="MO86" s="3"/>
      <c r="MP86" s="3"/>
      <c r="MQ86" s="3"/>
      <c r="MR86" s="3"/>
      <c r="MS86" s="3"/>
      <c r="MT86" s="3"/>
      <c r="MU86" s="3"/>
      <c r="MV86" s="3"/>
      <c r="MW86" s="3"/>
      <c r="MX86" s="3"/>
      <c r="MY86" s="3"/>
      <c r="MZ86" s="3"/>
      <c r="NA86" s="3"/>
      <c r="NB86" s="3"/>
      <c r="NC86" s="3"/>
      <c r="ND86" s="3"/>
      <c r="NE86" s="3"/>
      <c r="NF86" s="3"/>
      <c r="NG86" s="3"/>
      <c r="NH86" s="3"/>
      <c r="NI86" s="3"/>
      <c r="NJ86" s="3"/>
      <c r="NK86" s="3"/>
      <c r="NL86" s="3"/>
      <c r="NM86" s="3"/>
      <c r="NN86" s="3"/>
      <c r="NO86" s="3"/>
      <c r="NP86" s="3"/>
      <c r="NQ86" s="3"/>
      <c r="NR86" s="3"/>
      <c r="NS86" s="3"/>
      <c r="NT86" s="3"/>
      <c r="NU86" s="3"/>
      <c r="NV86" s="3"/>
      <c r="NW86" s="3"/>
      <c r="NX86" s="3"/>
      <c r="NY86" s="3"/>
      <c r="NZ86" s="3"/>
      <c r="OA86" s="3"/>
      <c r="OB86" s="3"/>
      <c r="OC86" s="3"/>
      <c r="OD86" s="3"/>
      <c r="OE86" s="3"/>
      <c r="OF86" s="3"/>
      <c r="OG86" s="3"/>
      <c r="OH86" s="3"/>
      <c r="OI86" s="3"/>
      <c r="OJ86" s="3"/>
      <c r="OK86" s="3"/>
      <c r="OL86" s="3"/>
      <c r="OM86" s="3"/>
      <c r="ON86" s="3"/>
      <c r="OO86" s="3"/>
      <c r="OP86" s="3"/>
      <c r="OQ86" s="3"/>
      <c r="OR86" s="3"/>
      <c r="OS86" s="3"/>
      <c r="OT86" s="3"/>
      <c r="OU86" s="3"/>
      <c r="OV86" s="3"/>
      <c r="OW86" s="3"/>
      <c r="OX86" s="3"/>
      <c r="OY86" s="3"/>
      <c r="OZ86" s="3"/>
      <c r="PA86" s="3"/>
      <c r="PB86" s="3"/>
      <c r="PC86" s="3"/>
      <c r="PD86" s="3"/>
      <c r="PE86" s="3"/>
      <c r="PF86" s="3"/>
      <c r="PG86" s="3"/>
      <c r="PH86" s="3"/>
      <c r="PI86" s="3"/>
      <c r="PJ86" s="3"/>
      <c r="PK86" s="3"/>
      <c r="PL86" s="3"/>
      <c r="PM86" s="3"/>
      <c r="PN86" s="3"/>
      <c r="PO86" s="3"/>
      <c r="PP86" s="3"/>
      <c r="PQ86" s="3"/>
      <c r="PR86" s="3"/>
      <c r="PS86" s="3"/>
      <c r="PT86" s="3"/>
      <c r="PU86" s="3"/>
      <c r="PV86" s="3"/>
      <c r="PW86" s="3"/>
      <c r="PX86" s="3"/>
      <c r="PY86" s="3"/>
      <c r="PZ86" s="3"/>
      <c r="QA86" s="3"/>
      <c r="QB86" s="3"/>
      <c r="QC86" s="3"/>
      <c r="QD86" s="3"/>
      <c r="QE86" s="3"/>
      <c r="QF86" s="3"/>
      <c r="QG86" s="3"/>
      <c r="QH86" s="3"/>
      <c r="QI86" s="3"/>
      <c r="QJ86" s="3"/>
      <c r="QK86" s="3"/>
      <c r="QL86" s="3"/>
      <c r="QM86" s="3"/>
      <c r="QN86" s="3"/>
      <c r="QO86" s="3"/>
      <c r="QP86" s="3"/>
      <c r="QQ86" s="3"/>
      <c r="QR86" s="3"/>
      <c r="QS86" s="3"/>
      <c r="QT86" s="3"/>
      <c r="QU86" s="3"/>
      <c r="QV86" s="3"/>
      <c r="QW86" s="3"/>
      <c r="QX86" s="3"/>
      <c r="QY86" s="3"/>
      <c r="QZ86" s="3"/>
      <c r="RA86" s="3"/>
      <c r="RB86" s="3"/>
      <c r="RC86" s="3"/>
      <c r="RD86" s="3"/>
      <c r="RE86" s="3"/>
      <c r="RF86" s="3"/>
      <c r="RG86" s="3"/>
      <c r="RH86" s="3"/>
      <c r="RI86" s="3"/>
      <c r="RJ86" s="3"/>
      <c r="RK86" s="3"/>
      <c r="RL86" s="3"/>
      <c r="RM86" s="3"/>
      <c r="RN86" s="3"/>
      <c r="RO86" s="3"/>
      <c r="RP86" s="3"/>
      <c r="RQ86" s="3"/>
      <c r="RR86" s="3"/>
      <c r="RS86" s="3"/>
      <c r="RT86" s="3"/>
      <c r="RU86" s="3"/>
      <c r="RV86" s="3"/>
      <c r="RW86" s="3"/>
      <c r="RX86" s="3"/>
      <c r="RY86" s="3"/>
      <c r="RZ86" s="3"/>
      <c r="SA86" s="3"/>
      <c r="SB86" s="3"/>
      <c r="SC86" s="3"/>
      <c r="SD86" s="3"/>
      <c r="SE86" s="3"/>
      <c r="SF86" s="3"/>
      <c r="SG86" s="3"/>
      <c r="SH86" s="3"/>
      <c r="SI86" s="3"/>
      <c r="SJ86" s="3"/>
      <c r="SK86" s="3"/>
      <c r="SL86" s="3"/>
      <c r="SM86" s="3"/>
      <c r="SN86" s="3"/>
      <c r="SO86" s="3"/>
      <c r="SP86" s="3"/>
      <c r="SQ86" s="3"/>
      <c r="SR86" s="3"/>
      <c r="SS86" s="3"/>
      <c r="ST86" s="3"/>
      <c r="SU86" s="3"/>
      <c r="SV86" s="3"/>
      <c r="SW86" s="3"/>
      <c r="SX86" s="3"/>
      <c r="SY86" s="3"/>
      <c r="SZ86" s="3"/>
      <c r="TA86" s="3"/>
      <c r="TB86" s="3"/>
      <c r="TC86" s="3"/>
      <c r="TD86" s="3"/>
      <c r="TE86" s="3"/>
      <c r="TF86" s="3"/>
      <c r="TG86" s="3"/>
      <c r="TH86" s="3"/>
      <c r="TI86" s="3"/>
      <c r="TJ86" s="3"/>
      <c r="TK86" s="3"/>
      <c r="TL86" s="3"/>
      <c r="TM86" s="3"/>
      <c r="TN86" s="3"/>
      <c r="TO86" s="3"/>
      <c r="TP86" s="3"/>
      <c r="TQ86" s="3"/>
      <c r="TR86" s="3"/>
      <c r="TS86" s="3"/>
      <c r="TT86" s="3"/>
      <c r="TU86" s="3"/>
      <c r="TV86" s="3"/>
      <c r="TW86" s="3"/>
      <c r="TX86" s="3"/>
      <c r="TY86" s="3"/>
      <c r="TZ86" s="3"/>
      <c r="UA86" s="3"/>
      <c r="UB86" s="3"/>
      <c r="UC86" s="3"/>
      <c r="UD86" s="3"/>
      <c r="UE86" s="3"/>
    </row>
    <row r="87" spans="1:1351" x14ac:dyDescent="0.25">
      <c r="A87" s="26" t="s">
        <v>115</v>
      </c>
      <c r="B87" s="27"/>
      <c r="C87" s="10">
        <f>AVERAGE(logistics!B8:K8)</f>
        <v>4.40374E-5</v>
      </c>
      <c r="D87" s="11">
        <f>AVERAGE(logistics!B37:K37)</f>
        <v>6.2508999999999997E-6</v>
      </c>
      <c r="E87" s="15">
        <f t="shared" si="2"/>
        <v>1.5027948846948496</v>
      </c>
      <c r="F87" s="15">
        <f t="shared" si="3"/>
        <v>6.0449695243884882</v>
      </c>
      <c r="G87" s="6" t="s">
        <v>56</v>
      </c>
      <c r="H87" s="18">
        <v>1.6832407730948329</v>
      </c>
      <c r="I87" s="3"/>
      <c r="J87" s="6" t="s">
        <v>56</v>
      </c>
      <c r="K87" s="18">
        <v>10.627887872694982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  <c r="DK87" s="3"/>
      <c r="DL87" s="3"/>
      <c r="DM87" s="3"/>
      <c r="DN87" s="3"/>
      <c r="DO87" s="3"/>
      <c r="DP87" s="3"/>
      <c r="DQ87" s="3"/>
      <c r="DR87" s="3"/>
      <c r="DS87" s="3"/>
      <c r="DT87" s="3"/>
      <c r="DU87" s="3"/>
      <c r="DV87" s="3"/>
      <c r="DW87" s="3"/>
      <c r="DX87" s="3"/>
      <c r="DY87" s="3"/>
      <c r="DZ87" s="3"/>
      <c r="EA87" s="3"/>
      <c r="EB87" s="3"/>
      <c r="EC87" s="3"/>
      <c r="ED87" s="3"/>
      <c r="EE87" s="3"/>
      <c r="EF87" s="3"/>
      <c r="EG87" s="3"/>
      <c r="EH87" s="3"/>
      <c r="EI87" s="3"/>
      <c r="EJ87" s="3"/>
      <c r="EK87" s="3"/>
      <c r="EL87" s="3"/>
      <c r="EM87" s="3"/>
      <c r="EN87" s="3"/>
      <c r="EO87" s="3"/>
      <c r="EP87" s="3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  <c r="FH87" s="3"/>
      <c r="FI87" s="3"/>
      <c r="FJ87" s="3"/>
      <c r="FK87" s="3"/>
      <c r="FL87" s="3"/>
      <c r="FM87" s="3"/>
      <c r="FN87" s="3"/>
      <c r="FO87" s="3"/>
      <c r="FP87" s="3"/>
      <c r="FQ87" s="3"/>
      <c r="FR87" s="3"/>
      <c r="FS87" s="3"/>
      <c r="FT87" s="3"/>
      <c r="FU87" s="3"/>
      <c r="FV87" s="3"/>
      <c r="FW87" s="3"/>
      <c r="FX87" s="3"/>
      <c r="FY87" s="3"/>
      <c r="FZ87" s="3"/>
      <c r="GA87" s="3"/>
      <c r="GB87" s="3"/>
      <c r="GC87" s="3"/>
      <c r="GD87" s="3"/>
      <c r="GE87" s="3"/>
      <c r="GF87" s="3"/>
      <c r="GG87" s="3"/>
      <c r="GH87" s="3"/>
      <c r="GI87" s="3"/>
      <c r="GJ87" s="3"/>
      <c r="GK87" s="3"/>
      <c r="GL87" s="3"/>
      <c r="GM87" s="3"/>
      <c r="GN87" s="3"/>
      <c r="GO87" s="3"/>
      <c r="GP87" s="3"/>
      <c r="GQ87" s="3"/>
      <c r="GR87" s="3"/>
      <c r="GS87" s="3"/>
      <c r="GT87" s="3"/>
      <c r="GU87" s="3"/>
      <c r="GV87" s="3"/>
      <c r="GW87" s="3"/>
      <c r="GX87" s="3"/>
      <c r="GY87" s="3"/>
      <c r="GZ87" s="3"/>
      <c r="HA87" s="3"/>
      <c r="HB87" s="3"/>
      <c r="HC87" s="3"/>
      <c r="HD87" s="3"/>
      <c r="HE87" s="3"/>
      <c r="HF87" s="3"/>
      <c r="HG87" s="3"/>
      <c r="HH87" s="3"/>
      <c r="HI87" s="3"/>
      <c r="HJ87" s="3"/>
      <c r="HK87" s="3"/>
      <c r="HL87" s="3"/>
      <c r="HM87" s="3"/>
      <c r="HN87" s="3"/>
      <c r="HO87" s="3"/>
      <c r="HP87" s="3"/>
      <c r="HQ87" s="3"/>
      <c r="HR87" s="3"/>
      <c r="HS87" s="3"/>
      <c r="HT87" s="3"/>
      <c r="HU87" s="3"/>
      <c r="HV87" s="3"/>
      <c r="HW87" s="3"/>
      <c r="HX87" s="3"/>
      <c r="HY87" s="3"/>
      <c r="HZ87" s="3"/>
      <c r="IA87" s="3"/>
      <c r="IB87" s="3"/>
      <c r="IC87" s="3"/>
      <c r="ID87" s="3"/>
      <c r="IE87" s="3"/>
      <c r="IF87" s="3"/>
      <c r="IG87" s="3"/>
      <c r="IH87" s="3"/>
      <c r="II87" s="3"/>
      <c r="IJ87" s="3"/>
      <c r="IK87" s="3"/>
      <c r="IL87" s="3"/>
      <c r="IM87" s="3"/>
      <c r="IN87" s="3"/>
      <c r="IO87" s="3"/>
      <c r="IP87" s="3"/>
      <c r="IQ87" s="3"/>
      <c r="IR87" s="3"/>
      <c r="IS87" s="3"/>
      <c r="IT87" s="3"/>
      <c r="IU87" s="3"/>
      <c r="IV87" s="3"/>
      <c r="IW87" s="3"/>
      <c r="IX87" s="3"/>
      <c r="IY87" s="3"/>
      <c r="IZ87" s="3"/>
      <c r="JA87" s="3"/>
      <c r="JB87" s="3"/>
      <c r="JC87" s="3"/>
      <c r="JD87" s="3"/>
      <c r="JE87" s="3"/>
      <c r="JF87" s="3"/>
      <c r="JG87" s="3"/>
      <c r="JH87" s="3"/>
      <c r="JI87" s="3"/>
      <c r="JJ87" s="3"/>
      <c r="JK87" s="3"/>
      <c r="JL87" s="3"/>
      <c r="JM87" s="3"/>
      <c r="JN87" s="3"/>
      <c r="JO87" s="3"/>
      <c r="JP87" s="3"/>
      <c r="JQ87" s="3"/>
      <c r="JR87" s="3"/>
      <c r="JS87" s="3"/>
      <c r="JT87" s="3"/>
      <c r="JU87" s="3"/>
      <c r="JV87" s="3"/>
      <c r="JW87" s="3"/>
      <c r="JX87" s="3"/>
      <c r="JY87" s="3"/>
      <c r="JZ87" s="3"/>
      <c r="KA87" s="3"/>
      <c r="KB87" s="3"/>
      <c r="KC87" s="3"/>
      <c r="KD87" s="3"/>
      <c r="KE87" s="3"/>
      <c r="KF87" s="3"/>
      <c r="KG87" s="3"/>
      <c r="KH87" s="3"/>
      <c r="KI87" s="3"/>
      <c r="KJ87" s="3"/>
      <c r="KK87" s="3"/>
      <c r="KL87" s="3"/>
      <c r="KM87" s="3"/>
      <c r="KN87" s="3"/>
      <c r="KO87" s="3"/>
      <c r="KP87" s="3"/>
      <c r="KQ87" s="3"/>
      <c r="KR87" s="3"/>
      <c r="KS87" s="3"/>
      <c r="KT87" s="3"/>
      <c r="KU87" s="3"/>
      <c r="KV87" s="3"/>
      <c r="KW87" s="3"/>
      <c r="KX87" s="3"/>
      <c r="KY87" s="3"/>
      <c r="KZ87" s="3"/>
      <c r="LA87" s="3"/>
      <c r="LB87" s="3"/>
      <c r="LC87" s="3"/>
      <c r="LD87" s="3"/>
      <c r="LE87" s="3"/>
      <c r="LF87" s="3"/>
      <c r="LG87" s="3"/>
      <c r="LH87" s="3"/>
      <c r="LI87" s="3"/>
      <c r="LJ87" s="3"/>
      <c r="LK87" s="3"/>
      <c r="LL87" s="3"/>
      <c r="LM87" s="3"/>
      <c r="LN87" s="3"/>
      <c r="LO87" s="3"/>
      <c r="LP87" s="3"/>
      <c r="LQ87" s="3"/>
      <c r="LR87" s="3"/>
      <c r="LS87" s="3"/>
      <c r="LT87" s="3"/>
      <c r="LU87" s="3"/>
      <c r="LV87" s="3"/>
      <c r="LW87" s="3"/>
      <c r="LX87" s="3"/>
      <c r="LY87" s="3"/>
      <c r="LZ87" s="3"/>
      <c r="MA87" s="3"/>
      <c r="MB87" s="3"/>
      <c r="MC87" s="3"/>
      <c r="MD87" s="3"/>
      <c r="ME87" s="3"/>
      <c r="MF87" s="3"/>
      <c r="MG87" s="3"/>
      <c r="MH87" s="3"/>
      <c r="MI87" s="3"/>
      <c r="MJ87" s="3"/>
      <c r="MK87" s="3"/>
      <c r="ML87" s="3"/>
      <c r="MM87" s="3"/>
      <c r="MN87" s="3"/>
      <c r="MO87" s="3"/>
      <c r="MP87" s="3"/>
      <c r="MQ87" s="3"/>
      <c r="MR87" s="3"/>
      <c r="MS87" s="3"/>
      <c r="MT87" s="3"/>
      <c r="MU87" s="3"/>
      <c r="MV87" s="3"/>
      <c r="MW87" s="3"/>
      <c r="MX87" s="3"/>
      <c r="MY87" s="3"/>
      <c r="MZ87" s="3"/>
      <c r="NA87" s="3"/>
      <c r="NB87" s="3"/>
      <c r="NC87" s="3"/>
      <c r="ND87" s="3"/>
      <c r="NE87" s="3"/>
      <c r="NF87" s="3"/>
      <c r="NG87" s="3"/>
      <c r="NH87" s="3"/>
      <c r="NI87" s="3"/>
      <c r="NJ87" s="3"/>
      <c r="NK87" s="3"/>
      <c r="NL87" s="3"/>
      <c r="NM87" s="3"/>
      <c r="NN87" s="3"/>
      <c r="NO87" s="3"/>
      <c r="NP87" s="3"/>
      <c r="NQ87" s="3"/>
      <c r="NR87" s="3"/>
      <c r="NS87" s="3"/>
      <c r="NT87" s="3"/>
      <c r="NU87" s="3"/>
      <c r="NV87" s="3"/>
      <c r="NW87" s="3"/>
      <c r="NX87" s="3"/>
      <c r="NY87" s="3"/>
      <c r="NZ87" s="3"/>
      <c r="OA87" s="3"/>
      <c r="OB87" s="3"/>
      <c r="OC87" s="3"/>
      <c r="OD87" s="3"/>
      <c r="OE87" s="3"/>
      <c r="OF87" s="3"/>
      <c r="OG87" s="3"/>
      <c r="OH87" s="3"/>
      <c r="OI87" s="3"/>
      <c r="OJ87" s="3"/>
      <c r="OK87" s="3"/>
      <c r="OL87" s="3"/>
      <c r="OM87" s="3"/>
      <c r="ON87" s="3"/>
      <c r="OO87" s="3"/>
      <c r="OP87" s="3"/>
      <c r="OQ87" s="3"/>
      <c r="OR87" s="3"/>
      <c r="OS87" s="3"/>
      <c r="OT87" s="3"/>
      <c r="OU87" s="3"/>
      <c r="OV87" s="3"/>
      <c r="OW87" s="3"/>
      <c r="OX87" s="3"/>
      <c r="OY87" s="3"/>
      <c r="OZ87" s="3"/>
      <c r="PA87" s="3"/>
      <c r="PB87" s="3"/>
      <c r="PC87" s="3"/>
      <c r="PD87" s="3"/>
      <c r="PE87" s="3"/>
      <c r="PF87" s="3"/>
      <c r="PG87" s="3"/>
      <c r="PH87" s="3"/>
      <c r="PI87" s="3"/>
      <c r="PJ87" s="3"/>
      <c r="PK87" s="3"/>
      <c r="PL87" s="3"/>
      <c r="PM87" s="3"/>
      <c r="PN87" s="3"/>
      <c r="PO87" s="3"/>
      <c r="PP87" s="3"/>
      <c r="PQ87" s="3"/>
      <c r="PR87" s="3"/>
      <c r="PS87" s="3"/>
      <c r="PT87" s="3"/>
      <c r="PU87" s="3"/>
      <c r="PV87" s="3"/>
      <c r="PW87" s="3"/>
      <c r="PX87" s="3"/>
      <c r="PY87" s="3"/>
      <c r="PZ87" s="3"/>
      <c r="QA87" s="3"/>
      <c r="QB87" s="3"/>
      <c r="QC87" s="3"/>
      <c r="QD87" s="3"/>
      <c r="QE87" s="3"/>
      <c r="QF87" s="3"/>
      <c r="QG87" s="3"/>
      <c r="QH87" s="3"/>
      <c r="QI87" s="3"/>
      <c r="QJ87" s="3"/>
      <c r="QK87" s="3"/>
      <c r="QL87" s="3"/>
      <c r="QM87" s="3"/>
      <c r="QN87" s="3"/>
      <c r="QO87" s="3"/>
      <c r="QP87" s="3"/>
      <c r="QQ87" s="3"/>
      <c r="QR87" s="3"/>
      <c r="QS87" s="3"/>
      <c r="QT87" s="3"/>
      <c r="QU87" s="3"/>
      <c r="QV87" s="3"/>
      <c r="QW87" s="3"/>
      <c r="QX87" s="3"/>
      <c r="QY87" s="3"/>
      <c r="QZ87" s="3"/>
      <c r="RA87" s="3"/>
      <c r="RB87" s="3"/>
      <c r="RC87" s="3"/>
      <c r="RD87" s="3"/>
      <c r="RE87" s="3"/>
      <c r="RF87" s="3"/>
      <c r="RG87" s="3"/>
      <c r="RH87" s="3"/>
      <c r="RI87" s="3"/>
      <c r="RJ87" s="3"/>
      <c r="RK87" s="3"/>
      <c r="RL87" s="3"/>
      <c r="RM87" s="3"/>
      <c r="RN87" s="3"/>
      <c r="RO87" s="3"/>
      <c r="RP87" s="3"/>
      <c r="RQ87" s="3"/>
      <c r="RR87" s="3"/>
      <c r="RS87" s="3"/>
      <c r="RT87" s="3"/>
      <c r="RU87" s="3"/>
      <c r="RV87" s="3"/>
      <c r="RW87" s="3"/>
      <c r="RX87" s="3"/>
      <c r="RY87" s="3"/>
      <c r="RZ87" s="3"/>
      <c r="SA87" s="3"/>
      <c r="SB87" s="3"/>
      <c r="SC87" s="3"/>
      <c r="SD87" s="3"/>
      <c r="SE87" s="3"/>
      <c r="SF87" s="3"/>
      <c r="SG87" s="3"/>
      <c r="SH87" s="3"/>
      <c r="SI87" s="3"/>
      <c r="SJ87" s="3"/>
      <c r="SK87" s="3"/>
      <c r="SL87" s="3"/>
      <c r="SM87" s="3"/>
      <c r="SN87" s="3"/>
      <c r="SO87" s="3"/>
      <c r="SP87" s="3"/>
      <c r="SQ87" s="3"/>
      <c r="SR87" s="3"/>
      <c r="SS87" s="3"/>
      <c r="ST87" s="3"/>
      <c r="SU87" s="3"/>
      <c r="SV87" s="3"/>
      <c r="SW87" s="3"/>
      <c r="SX87" s="3"/>
      <c r="SY87" s="3"/>
      <c r="SZ87" s="3"/>
      <c r="TA87" s="3"/>
      <c r="TB87" s="3"/>
      <c r="TC87" s="3"/>
      <c r="TD87" s="3"/>
      <c r="TE87" s="3"/>
      <c r="TF87" s="3"/>
      <c r="TG87" s="3"/>
      <c r="TH87" s="3"/>
      <c r="TI87" s="3"/>
      <c r="TJ87" s="3"/>
      <c r="TK87" s="3"/>
      <c r="TL87" s="3"/>
      <c r="TM87" s="3"/>
      <c r="TN87" s="3"/>
      <c r="TO87" s="3"/>
      <c r="TP87" s="3"/>
      <c r="TQ87" s="3"/>
      <c r="TR87" s="3"/>
      <c r="TS87" s="3"/>
      <c r="TT87" s="3"/>
      <c r="TU87" s="3"/>
      <c r="TV87" s="3"/>
      <c r="TW87" s="3"/>
      <c r="TX87" s="3"/>
      <c r="TY87" s="3"/>
      <c r="TZ87" s="3"/>
      <c r="UA87" s="3"/>
      <c r="UB87" s="3"/>
      <c r="UC87" s="3"/>
      <c r="UD87" s="3"/>
      <c r="UE87" s="3"/>
      <c r="UF87" s="3"/>
      <c r="UG87" s="3"/>
      <c r="UH87" s="3"/>
      <c r="UI87" s="3"/>
      <c r="UJ87" s="3"/>
      <c r="UK87" s="3"/>
      <c r="UL87" s="3"/>
      <c r="UM87" s="3"/>
      <c r="UN87" s="3"/>
      <c r="UO87" s="3"/>
      <c r="UP87" s="3"/>
      <c r="UQ87" s="3"/>
      <c r="UR87" s="3"/>
      <c r="US87" s="3"/>
      <c r="UT87" s="3"/>
      <c r="UU87" s="3"/>
      <c r="UV87" s="3"/>
      <c r="UW87" s="3"/>
      <c r="UX87" s="3"/>
      <c r="UY87" s="3"/>
      <c r="UZ87" s="3"/>
      <c r="VA87" s="3"/>
      <c r="VB87" s="3"/>
      <c r="VC87" s="3"/>
      <c r="VD87" s="3"/>
      <c r="VE87" s="3"/>
      <c r="VF87" s="3"/>
      <c r="VG87" s="3"/>
      <c r="VH87" s="3"/>
      <c r="VI87" s="3"/>
      <c r="VJ87" s="3"/>
      <c r="VK87" s="3"/>
      <c r="VL87" s="3"/>
      <c r="VM87" s="3"/>
      <c r="VN87" s="3"/>
      <c r="VO87" s="3"/>
      <c r="VP87" s="3"/>
      <c r="VQ87" s="3"/>
      <c r="VR87" s="3"/>
      <c r="VS87" s="3"/>
      <c r="VT87" s="3"/>
      <c r="VU87" s="3"/>
      <c r="VV87" s="3"/>
      <c r="VW87" s="3"/>
      <c r="VX87" s="3"/>
      <c r="VY87" s="3"/>
      <c r="VZ87" s="3"/>
      <c r="WA87" s="3"/>
      <c r="WB87" s="3"/>
      <c r="WC87" s="3"/>
      <c r="WD87" s="3"/>
      <c r="WE87" s="3"/>
      <c r="WF87" s="3"/>
      <c r="WG87" s="3"/>
      <c r="WH87" s="3"/>
      <c r="WI87" s="3"/>
      <c r="WJ87" s="3"/>
      <c r="WK87" s="3"/>
      <c r="WL87" s="3"/>
      <c r="WM87" s="3"/>
      <c r="WN87" s="3"/>
      <c r="WO87" s="3"/>
      <c r="WP87" s="3"/>
      <c r="WQ87" s="3"/>
      <c r="WR87" s="3"/>
      <c r="WS87" s="3"/>
      <c r="WT87" s="3"/>
      <c r="WU87" s="3"/>
      <c r="WV87" s="3"/>
      <c r="WW87" s="3"/>
      <c r="WX87" s="3"/>
      <c r="WY87" s="3"/>
      <c r="WZ87" s="3"/>
      <c r="XA87" s="3"/>
      <c r="XB87" s="3"/>
      <c r="XC87" s="3"/>
      <c r="XD87" s="3"/>
      <c r="XE87" s="3"/>
      <c r="XF87" s="3"/>
      <c r="XG87" s="3"/>
    </row>
    <row r="88" spans="1:1351" x14ac:dyDescent="0.25">
      <c r="A88" s="26" t="s">
        <v>116</v>
      </c>
      <c r="B88" s="27"/>
      <c r="C88" s="10">
        <f>AVERAGE(logistics!B9:K9)</f>
        <v>8.1730299999999986E-5</v>
      </c>
      <c r="D88" s="11">
        <f>AVERAGE(logistics!B38:K38)</f>
        <v>1.0729500000000001E-5</v>
      </c>
      <c r="E88" s="15">
        <f t="shared" si="2"/>
        <v>1.5358198914555294</v>
      </c>
      <c r="F88" s="15">
        <f t="shared" si="3"/>
        <v>6.617344703853858</v>
      </c>
      <c r="G88" s="10" t="s">
        <v>126</v>
      </c>
      <c r="H88" s="18">
        <v>1.6914171580507478</v>
      </c>
      <c r="I88" s="3"/>
      <c r="J88" s="10" t="s">
        <v>126</v>
      </c>
      <c r="K88" s="18">
        <v>10.962483509234831</v>
      </c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  <c r="DK88" s="3"/>
      <c r="DL88" s="3"/>
      <c r="DM88" s="3"/>
      <c r="DN88" s="3"/>
      <c r="DO88" s="3"/>
      <c r="DP88" s="3"/>
      <c r="DQ88" s="3"/>
      <c r="DR88" s="3"/>
      <c r="DS88" s="3"/>
      <c r="DT88" s="3"/>
      <c r="DU88" s="3"/>
      <c r="DV88" s="3"/>
      <c r="DW88" s="3"/>
      <c r="DX88" s="3"/>
      <c r="DY88" s="3"/>
      <c r="DZ88" s="3"/>
      <c r="EA88" s="3"/>
      <c r="EB88" s="3"/>
      <c r="EC88" s="3"/>
      <c r="ED88" s="3"/>
      <c r="EE88" s="3"/>
      <c r="EF88" s="3"/>
      <c r="EG88" s="3"/>
      <c r="EH88" s="3"/>
      <c r="EI88" s="3"/>
      <c r="EJ88" s="3"/>
      <c r="EK88" s="3"/>
      <c r="EL88" s="3"/>
      <c r="EM88" s="3"/>
      <c r="EN88" s="3"/>
      <c r="EO88" s="3"/>
      <c r="EP88" s="3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  <c r="FH88" s="3"/>
      <c r="FI88" s="3"/>
      <c r="FJ88" s="3"/>
      <c r="FK88" s="3"/>
      <c r="FL88" s="3"/>
      <c r="FM88" s="3"/>
      <c r="FN88" s="3"/>
      <c r="FO88" s="3"/>
      <c r="FP88" s="3"/>
      <c r="FQ88" s="3"/>
      <c r="FR88" s="3"/>
      <c r="FS88" s="3"/>
      <c r="FT88" s="3"/>
      <c r="FU88" s="3"/>
      <c r="FV88" s="3"/>
      <c r="FW88" s="3"/>
      <c r="FX88" s="3"/>
      <c r="FY88" s="3"/>
      <c r="FZ88" s="3"/>
      <c r="GA88" s="3"/>
      <c r="GB88" s="3"/>
      <c r="GC88" s="3"/>
      <c r="GD88" s="3"/>
      <c r="GE88" s="3"/>
      <c r="GF88" s="3"/>
      <c r="GG88" s="3"/>
      <c r="GH88" s="3"/>
      <c r="GI88" s="3"/>
      <c r="GJ88" s="3"/>
      <c r="GK88" s="3"/>
      <c r="GL88" s="3"/>
      <c r="GM88" s="3"/>
      <c r="GN88" s="3"/>
      <c r="GO88" s="3"/>
      <c r="GP88" s="3"/>
      <c r="GQ88" s="3"/>
      <c r="GR88" s="3"/>
      <c r="GS88" s="3"/>
      <c r="GT88" s="3"/>
      <c r="GU88" s="3"/>
      <c r="GV88" s="3"/>
      <c r="GW88" s="3"/>
      <c r="GX88" s="3"/>
      <c r="GY88" s="3"/>
      <c r="GZ88" s="3"/>
      <c r="HA88" s="3"/>
      <c r="HB88" s="3"/>
      <c r="HC88" s="3"/>
      <c r="HD88" s="3"/>
      <c r="HE88" s="3"/>
      <c r="HF88" s="3"/>
      <c r="HG88" s="3"/>
      <c r="HH88" s="3"/>
      <c r="HI88" s="3"/>
      <c r="HJ88" s="3"/>
      <c r="HK88" s="3"/>
      <c r="HL88" s="3"/>
      <c r="HM88" s="3"/>
      <c r="HN88" s="3"/>
      <c r="HO88" s="3"/>
      <c r="HP88" s="3"/>
      <c r="HQ88" s="3"/>
      <c r="HR88" s="3"/>
      <c r="HS88" s="3"/>
      <c r="HT88" s="3"/>
      <c r="HU88" s="3"/>
      <c r="HV88" s="3"/>
      <c r="HW88" s="3"/>
      <c r="HX88" s="3"/>
      <c r="HY88" s="3"/>
      <c r="HZ88" s="3"/>
      <c r="IA88" s="3"/>
      <c r="IB88" s="3"/>
      <c r="IC88" s="3"/>
      <c r="ID88" s="3"/>
      <c r="IE88" s="3"/>
      <c r="IF88" s="3"/>
      <c r="IG88" s="3"/>
      <c r="IH88" s="3"/>
      <c r="II88" s="3"/>
      <c r="IJ88" s="3"/>
      <c r="IK88" s="3"/>
      <c r="IL88" s="3"/>
      <c r="IM88" s="3"/>
      <c r="IN88" s="3"/>
      <c r="IO88" s="3"/>
      <c r="IP88" s="3"/>
      <c r="IQ88" s="3"/>
      <c r="IR88" s="3"/>
      <c r="IS88" s="3"/>
      <c r="IT88" s="3"/>
      <c r="IU88" s="3"/>
      <c r="IV88" s="3"/>
      <c r="IW88" s="3"/>
      <c r="IX88" s="3"/>
      <c r="IY88" s="3"/>
      <c r="IZ88" s="3"/>
      <c r="JA88" s="3"/>
      <c r="JB88" s="3"/>
      <c r="JC88" s="3"/>
      <c r="JD88" s="3"/>
      <c r="JE88" s="3"/>
      <c r="JF88" s="3"/>
      <c r="JG88" s="3"/>
      <c r="JH88" s="3"/>
      <c r="JI88" s="3"/>
      <c r="JJ88" s="3"/>
      <c r="JK88" s="3"/>
      <c r="JL88" s="3"/>
      <c r="JM88" s="3"/>
      <c r="JN88" s="3"/>
      <c r="JO88" s="3"/>
      <c r="JP88" s="3"/>
      <c r="JQ88" s="3"/>
      <c r="JR88" s="3"/>
      <c r="JS88" s="3"/>
      <c r="JT88" s="3"/>
      <c r="JU88" s="3"/>
      <c r="JV88" s="3"/>
      <c r="JW88" s="3"/>
      <c r="JX88" s="3"/>
      <c r="JY88" s="3"/>
      <c r="JZ88" s="3"/>
      <c r="KA88" s="3"/>
      <c r="KB88" s="3"/>
      <c r="KC88" s="3"/>
      <c r="KD88" s="3"/>
      <c r="KE88" s="3"/>
      <c r="KF88" s="3"/>
      <c r="KG88" s="3"/>
      <c r="KH88" s="3"/>
      <c r="KI88" s="3"/>
      <c r="KJ88" s="3"/>
      <c r="KK88" s="3"/>
      <c r="KL88" s="3"/>
      <c r="KM88" s="3"/>
      <c r="KN88" s="3"/>
      <c r="KO88" s="3"/>
      <c r="KP88" s="3"/>
      <c r="KQ88" s="3"/>
      <c r="KR88" s="3"/>
      <c r="KS88" s="3"/>
      <c r="KT88" s="3"/>
      <c r="KU88" s="3"/>
      <c r="KV88" s="3"/>
      <c r="KW88" s="3"/>
      <c r="KX88" s="3"/>
      <c r="KY88" s="3"/>
      <c r="KZ88" s="3"/>
      <c r="LA88" s="3"/>
      <c r="LB88" s="3"/>
      <c r="LC88" s="3"/>
      <c r="LD88" s="3"/>
      <c r="LE88" s="3"/>
      <c r="LF88" s="3"/>
      <c r="LG88" s="3"/>
      <c r="LH88" s="3"/>
      <c r="LI88" s="3"/>
      <c r="LJ88" s="3"/>
      <c r="LK88" s="3"/>
      <c r="LL88" s="3"/>
      <c r="LM88" s="3"/>
      <c r="LN88" s="3"/>
      <c r="LO88" s="3"/>
      <c r="LP88" s="3"/>
      <c r="LQ88" s="3"/>
      <c r="LR88" s="3"/>
      <c r="LS88" s="3"/>
      <c r="LT88" s="3"/>
      <c r="LU88" s="3"/>
      <c r="LV88" s="3"/>
      <c r="LW88" s="3"/>
      <c r="LX88" s="3"/>
      <c r="LY88" s="3"/>
      <c r="LZ88" s="3"/>
      <c r="MA88" s="3"/>
      <c r="MB88" s="3"/>
      <c r="MC88" s="3"/>
      <c r="MD88" s="3"/>
      <c r="ME88" s="3"/>
      <c r="MF88" s="3"/>
      <c r="MG88" s="3"/>
      <c r="MH88" s="3"/>
      <c r="MI88" s="3"/>
      <c r="MJ88" s="3"/>
      <c r="MK88" s="3"/>
      <c r="ML88" s="3"/>
      <c r="MM88" s="3"/>
      <c r="MN88" s="3"/>
      <c r="MO88" s="3"/>
      <c r="MP88" s="3"/>
      <c r="MQ88" s="3"/>
      <c r="MR88" s="3"/>
      <c r="MS88" s="3"/>
      <c r="MT88" s="3"/>
      <c r="MU88" s="3"/>
      <c r="MV88" s="3"/>
      <c r="MW88" s="3"/>
      <c r="MX88" s="3"/>
      <c r="MY88" s="3"/>
      <c r="MZ88" s="3"/>
      <c r="NA88" s="3"/>
      <c r="NB88" s="3"/>
      <c r="NC88" s="3"/>
      <c r="ND88" s="3"/>
      <c r="NE88" s="3"/>
      <c r="NF88" s="3"/>
      <c r="NG88" s="3"/>
      <c r="NH88" s="3"/>
      <c r="NI88" s="3"/>
      <c r="NJ88" s="3"/>
      <c r="NK88" s="3"/>
      <c r="NL88" s="3"/>
      <c r="NM88" s="3"/>
      <c r="NN88" s="3"/>
      <c r="NO88" s="3"/>
      <c r="NP88" s="3"/>
      <c r="NQ88" s="3"/>
      <c r="NR88" s="3"/>
      <c r="NS88" s="3"/>
      <c r="NT88" s="3"/>
      <c r="NU88" s="3"/>
      <c r="NV88" s="3"/>
      <c r="NW88" s="3"/>
      <c r="NX88" s="3"/>
      <c r="NY88" s="3"/>
      <c r="NZ88" s="3"/>
      <c r="OA88" s="3"/>
      <c r="OB88" s="3"/>
      <c r="OC88" s="3"/>
      <c r="OD88" s="3"/>
      <c r="OE88" s="3"/>
      <c r="OF88" s="3"/>
      <c r="OG88" s="3"/>
      <c r="OH88" s="3"/>
      <c r="OI88" s="3"/>
      <c r="OJ88" s="3"/>
      <c r="OK88" s="3"/>
      <c r="OL88" s="3"/>
      <c r="OM88" s="3"/>
      <c r="ON88" s="3"/>
      <c r="OO88" s="3"/>
      <c r="OP88" s="3"/>
      <c r="OQ88" s="3"/>
      <c r="OR88" s="3"/>
      <c r="OS88" s="3"/>
      <c r="OT88" s="3"/>
      <c r="OU88" s="3"/>
      <c r="OV88" s="3"/>
      <c r="OW88" s="3"/>
      <c r="OX88" s="3"/>
      <c r="OY88" s="3"/>
      <c r="OZ88" s="3"/>
      <c r="PA88" s="3"/>
      <c r="PB88" s="3"/>
      <c r="PC88" s="3"/>
      <c r="PD88" s="3"/>
      <c r="PE88" s="3"/>
      <c r="PF88" s="3"/>
      <c r="PG88" s="3"/>
      <c r="PH88" s="3"/>
      <c r="PI88" s="3"/>
      <c r="PJ88" s="3"/>
      <c r="PK88" s="3"/>
      <c r="PL88" s="3"/>
      <c r="PM88" s="3"/>
      <c r="PN88" s="3"/>
      <c r="PO88" s="3"/>
      <c r="PP88" s="3"/>
      <c r="PQ88" s="3"/>
      <c r="PR88" s="3"/>
      <c r="PS88" s="3"/>
      <c r="PT88" s="3"/>
      <c r="PU88" s="3"/>
      <c r="PV88" s="3"/>
      <c r="PW88" s="3"/>
      <c r="PX88" s="3"/>
      <c r="PY88" s="3"/>
      <c r="PZ88" s="3"/>
      <c r="QA88" s="3"/>
      <c r="QB88" s="3"/>
      <c r="QC88" s="3"/>
      <c r="QD88" s="3"/>
      <c r="QE88" s="3"/>
      <c r="QF88" s="3"/>
      <c r="QG88" s="3"/>
      <c r="QH88" s="3"/>
      <c r="QI88" s="3"/>
      <c r="QJ88" s="3"/>
      <c r="QK88" s="3"/>
      <c r="QL88" s="3"/>
      <c r="QM88" s="3"/>
      <c r="QN88" s="3"/>
      <c r="QO88" s="3"/>
      <c r="QP88" s="3"/>
      <c r="QQ88" s="3"/>
      <c r="QR88" s="3"/>
      <c r="QS88" s="3"/>
      <c r="QT88" s="3"/>
      <c r="QU88" s="3"/>
      <c r="QV88" s="3"/>
      <c r="QW88" s="3"/>
      <c r="QX88" s="3"/>
      <c r="QY88" s="3"/>
      <c r="QZ88" s="3"/>
      <c r="RA88" s="3"/>
      <c r="RB88" s="3"/>
      <c r="RC88" s="3"/>
      <c r="RD88" s="3"/>
      <c r="RE88" s="3"/>
      <c r="RF88" s="3"/>
      <c r="RG88" s="3"/>
      <c r="RH88" s="3"/>
      <c r="RI88" s="3"/>
      <c r="RJ88" s="3"/>
      <c r="RK88" s="3"/>
      <c r="RL88" s="3"/>
      <c r="RM88" s="3"/>
      <c r="RN88" s="3"/>
      <c r="RO88" s="3"/>
      <c r="RP88" s="3"/>
      <c r="RQ88" s="3"/>
      <c r="RR88" s="3"/>
      <c r="RS88" s="3"/>
      <c r="RT88" s="3"/>
      <c r="RU88" s="3"/>
      <c r="RV88" s="3"/>
      <c r="RW88" s="3"/>
      <c r="RX88" s="3"/>
      <c r="RY88" s="3"/>
      <c r="RZ88" s="3"/>
      <c r="SA88" s="3"/>
      <c r="SB88" s="3"/>
      <c r="SC88" s="3"/>
      <c r="SD88" s="3"/>
      <c r="SE88" s="3"/>
      <c r="SF88" s="3"/>
      <c r="SG88" s="3"/>
      <c r="SH88" s="3"/>
      <c r="SI88" s="3"/>
      <c r="SJ88" s="3"/>
      <c r="SK88" s="3"/>
      <c r="SL88" s="3"/>
      <c r="SM88" s="3"/>
      <c r="SN88" s="3"/>
      <c r="SO88" s="3"/>
      <c r="SP88" s="3"/>
      <c r="SQ88" s="3"/>
      <c r="SR88" s="3"/>
      <c r="SS88" s="3"/>
      <c r="ST88" s="3"/>
      <c r="SU88" s="3"/>
      <c r="SV88" s="3"/>
      <c r="SW88" s="3"/>
      <c r="SX88" s="3"/>
      <c r="SY88" s="3"/>
      <c r="SZ88" s="3"/>
      <c r="TA88" s="3"/>
      <c r="TB88" s="3"/>
      <c r="TC88" s="3"/>
      <c r="TD88" s="3"/>
      <c r="TE88" s="3"/>
      <c r="TF88" s="3"/>
      <c r="TG88" s="3"/>
      <c r="TH88" s="3"/>
      <c r="TI88" s="3"/>
      <c r="TJ88" s="3"/>
      <c r="TK88" s="3"/>
      <c r="TL88" s="3"/>
      <c r="TM88" s="3"/>
      <c r="TN88" s="3"/>
      <c r="TO88" s="3"/>
      <c r="TP88" s="3"/>
      <c r="TQ88" s="3"/>
      <c r="TR88" s="3"/>
      <c r="TS88" s="3"/>
      <c r="TT88" s="3"/>
      <c r="TU88" s="3"/>
      <c r="TV88" s="3"/>
      <c r="TW88" s="3"/>
      <c r="TX88" s="3"/>
      <c r="TY88" s="3"/>
      <c r="TZ88" s="3"/>
      <c r="UA88" s="3"/>
      <c r="UB88" s="3"/>
      <c r="UC88" s="3"/>
      <c r="UD88" s="3"/>
      <c r="UE88" s="3"/>
      <c r="UF88" s="3"/>
      <c r="UG88" s="3"/>
      <c r="UH88" s="3"/>
      <c r="UI88" s="3"/>
      <c r="UJ88" s="3"/>
      <c r="UK88" s="3"/>
      <c r="UL88" s="3"/>
      <c r="UM88" s="3"/>
      <c r="UN88" s="3"/>
      <c r="UO88" s="3"/>
      <c r="UP88" s="3"/>
      <c r="UQ88" s="3"/>
      <c r="UR88" s="3"/>
      <c r="US88" s="3"/>
      <c r="UT88" s="3"/>
      <c r="UU88" s="3"/>
      <c r="UV88" s="3"/>
      <c r="UW88" s="3"/>
      <c r="UX88" s="3"/>
      <c r="UY88" s="3"/>
      <c r="UZ88" s="3"/>
      <c r="VA88" s="3"/>
      <c r="VB88" s="3"/>
      <c r="VC88" s="3"/>
      <c r="VD88" s="3"/>
      <c r="VE88" s="3"/>
      <c r="VF88" s="3"/>
      <c r="VG88" s="3"/>
      <c r="VH88" s="3"/>
      <c r="VI88" s="3"/>
      <c r="VJ88" s="3"/>
      <c r="VK88" s="3"/>
      <c r="VL88" s="3"/>
      <c r="VM88" s="3"/>
      <c r="VN88" s="3"/>
      <c r="VO88" s="3"/>
      <c r="VP88" s="3"/>
      <c r="VQ88" s="3"/>
      <c r="VR88" s="3"/>
      <c r="VS88" s="3"/>
      <c r="VT88" s="3"/>
      <c r="VU88" s="3"/>
      <c r="VV88" s="3"/>
      <c r="VW88" s="3"/>
      <c r="VX88" s="3"/>
      <c r="VY88" s="3"/>
      <c r="VZ88" s="3"/>
      <c r="WA88" s="3"/>
      <c r="WB88" s="3"/>
      <c r="WC88" s="3"/>
      <c r="WD88" s="3"/>
      <c r="WE88" s="3"/>
      <c r="WF88" s="3"/>
      <c r="WG88" s="3"/>
      <c r="WH88" s="3"/>
      <c r="WI88" s="3"/>
      <c r="WJ88" s="3"/>
      <c r="WK88" s="3"/>
      <c r="WL88" s="3"/>
      <c r="WM88" s="3"/>
      <c r="WN88" s="3"/>
      <c r="WO88" s="3"/>
      <c r="WP88" s="3"/>
      <c r="WQ88" s="3"/>
      <c r="WR88" s="3"/>
      <c r="WS88" s="3"/>
      <c r="WT88" s="3"/>
      <c r="WU88" s="3"/>
      <c r="WV88" s="3"/>
      <c r="WW88" s="3"/>
      <c r="WX88" s="3"/>
      <c r="WY88" s="3"/>
      <c r="WZ88" s="3"/>
      <c r="XA88" s="3"/>
      <c r="XB88" s="3"/>
      <c r="XC88" s="3"/>
      <c r="XD88" s="3"/>
      <c r="XE88" s="3"/>
      <c r="XF88" s="3"/>
      <c r="XG88" s="3"/>
      <c r="XH88" s="3"/>
      <c r="XI88" s="3"/>
      <c r="XJ88" s="3"/>
      <c r="XK88" s="3"/>
      <c r="XL88" s="3"/>
      <c r="XM88" s="3"/>
      <c r="XN88" s="3"/>
      <c r="XO88" s="3"/>
      <c r="XP88" s="3"/>
      <c r="XQ88" s="3"/>
      <c r="XR88" s="3"/>
      <c r="XS88" s="3"/>
      <c r="XT88" s="3"/>
      <c r="XU88" s="3"/>
      <c r="XV88" s="3"/>
      <c r="XW88" s="3"/>
      <c r="XX88" s="3"/>
      <c r="XY88" s="3"/>
      <c r="XZ88" s="3"/>
      <c r="YA88" s="3"/>
      <c r="YB88" s="3"/>
      <c r="YC88" s="3"/>
      <c r="YD88" s="3"/>
      <c r="YE88" s="3"/>
      <c r="YF88" s="3"/>
      <c r="YG88" s="3"/>
      <c r="YH88" s="3"/>
      <c r="YI88" s="3"/>
      <c r="YJ88" s="3"/>
      <c r="YK88" s="3"/>
      <c r="YL88" s="3"/>
      <c r="YM88" s="3"/>
      <c r="YN88" s="3"/>
      <c r="YO88" s="3"/>
      <c r="YP88" s="3"/>
      <c r="YQ88" s="3"/>
      <c r="YR88" s="3"/>
      <c r="YS88" s="3"/>
      <c r="YT88" s="3"/>
      <c r="YU88" s="3"/>
      <c r="YV88" s="3"/>
      <c r="YW88" s="3"/>
      <c r="YX88" s="3"/>
      <c r="YY88" s="3"/>
      <c r="YZ88" s="3"/>
      <c r="ZA88" s="3"/>
      <c r="ZB88" s="3"/>
      <c r="ZC88" s="3"/>
      <c r="ZD88" s="3"/>
      <c r="ZE88" s="3"/>
      <c r="ZF88" s="3"/>
      <c r="ZG88" s="3"/>
      <c r="ZH88" s="3"/>
      <c r="ZI88" s="3"/>
      <c r="ZJ88" s="3"/>
      <c r="ZK88" s="3"/>
      <c r="ZL88" s="3"/>
      <c r="ZM88" s="3"/>
      <c r="ZN88" s="3"/>
      <c r="ZO88" s="3"/>
      <c r="ZP88" s="3"/>
      <c r="ZQ88" s="3"/>
      <c r="ZR88" s="3"/>
      <c r="ZS88" s="3"/>
      <c r="ZT88" s="3"/>
      <c r="ZU88" s="3"/>
      <c r="ZV88" s="3"/>
      <c r="ZW88" s="3"/>
      <c r="ZX88" s="3"/>
      <c r="ZY88" s="3"/>
      <c r="ZZ88" s="3"/>
      <c r="AAA88" s="3"/>
      <c r="AAB88" s="3"/>
      <c r="AAC88" s="3"/>
      <c r="AAD88" s="3"/>
      <c r="AAE88" s="3"/>
      <c r="AAF88" s="3"/>
      <c r="AAG88" s="3"/>
      <c r="AAH88" s="3"/>
      <c r="AAI88" s="3"/>
    </row>
    <row r="89" spans="1:1351" x14ac:dyDescent="0.25">
      <c r="A89" s="26" t="s">
        <v>117</v>
      </c>
      <c r="B89" s="27"/>
      <c r="C89" s="10">
        <f>AVERAGE(logistics!B10:K10)</f>
        <v>8.2850000000000008E-5</v>
      </c>
      <c r="D89" s="11">
        <f>AVERAGE(logistics!B39:K39)</f>
        <v>1.0589599999999999E-5</v>
      </c>
      <c r="E89" s="15">
        <f t="shared" si="2"/>
        <v>1.5466761415930717</v>
      </c>
      <c r="F89" s="15">
        <f t="shared" si="3"/>
        <v>6.8237138324393749</v>
      </c>
      <c r="G89" s="6" t="s">
        <v>43</v>
      </c>
      <c r="H89" s="18">
        <v>1.7008359815625984</v>
      </c>
      <c r="I89" s="3"/>
      <c r="J89" s="6" t="s">
        <v>43</v>
      </c>
      <c r="K89" s="18">
        <v>11.370591894349012</v>
      </c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  <c r="DK89" s="3"/>
      <c r="DL89" s="3"/>
      <c r="DM89" s="3"/>
      <c r="DN89" s="3"/>
      <c r="DO89" s="3"/>
      <c r="DP89" s="3"/>
      <c r="DQ89" s="3"/>
      <c r="DR89" s="3"/>
      <c r="DS89" s="3"/>
      <c r="DT89" s="3"/>
      <c r="DU89" s="3"/>
      <c r="DV89" s="3"/>
      <c r="DW89" s="3"/>
      <c r="DX89" s="3"/>
      <c r="DY89" s="3"/>
      <c r="DZ89" s="3"/>
      <c r="EA89" s="3"/>
      <c r="EB89" s="3"/>
      <c r="EC89" s="3"/>
      <c r="ED89" s="3"/>
      <c r="EE89" s="3"/>
      <c r="EF89" s="3"/>
      <c r="EG89" s="3"/>
      <c r="EH89" s="3"/>
      <c r="EI89" s="3"/>
      <c r="EJ89" s="3"/>
      <c r="EK89" s="3"/>
      <c r="EL89" s="3"/>
      <c r="EM89" s="3"/>
      <c r="EN89" s="3"/>
      <c r="EO89" s="3"/>
      <c r="EP89" s="3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  <c r="FH89" s="3"/>
      <c r="FI89" s="3"/>
      <c r="FJ89" s="3"/>
      <c r="FK89" s="3"/>
      <c r="FL89" s="3"/>
      <c r="FM89" s="3"/>
      <c r="FN89" s="3"/>
      <c r="FO89" s="3"/>
      <c r="FP89" s="3"/>
      <c r="FQ89" s="3"/>
      <c r="FR89" s="3"/>
      <c r="FS89" s="3"/>
      <c r="FT89" s="3"/>
      <c r="FU89" s="3"/>
      <c r="FV89" s="3"/>
      <c r="FW89" s="3"/>
      <c r="FX89" s="3"/>
      <c r="FY89" s="3"/>
      <c r="FZ89" s="3"/>
      <c r="GA89" s="3"/>
      <c r="GB89" s="3"/>
      <c r="GC89" s="3"/>
      <c r="GD89" s="3"/>
      <c r="GE89" s="3"/>
      <c r="GF89" s="3"/>
      <c r="GG89" s="3"/>
      <c r="GH89" s="3"/>
      <c r="GI89" s="3"/>
      <c r="GJ89" s="3"/>
      <c r="GK89" s="3"/>
      <c r="GL89" s="3"/>
      <c r="GM89" s="3"/>
      <c r="GN89" s="3"/>
      <c r="GO89" s="3"/>
      <c r="GP89" s="3"/>
      <c r="GQ89" s="3"/>
      <c r="GR89" s="3"/>
      <c r="GS89" s="3"/>
      <c r="GT89" s="3"/>
      <c r="GU89" s="3"/>
      <c r="GV89" s="3"/>
      <c r="GW89" s="3"/>
      <c r="GX89" s="3"/>
      <c r="GY89" s="3"/>
      <c r="GZ89" s="3"/>
      <c r="HA89" s="3"/>
      <c r="HB89" s="3"/>
      <c r="HC89" s="3"/>
      <c r="HD89" s="3"/>
      <c r="HE89" s="3"/>
      <c r="HF89" s="3"/>
      <c r="HG89" s="3"/>
      <c r="HH89" s="3"/>
      <c r="HI89" s="3"/>
      <c r="HJ89" s="3"/>
      <c r="HK89" s="3"/>
      <c r="HL89" s="3"/>
      <c r="HM89" s="3"/>
      <c r="HN89" s="3"/>
      <c r="HO89" s="3"/>
      <c r="HP89" s="3"/>
      <c r="HQ89" s="3"/>
      <c r="HR89" s="3"/>
      <c r="HS89" s="3"/>
      <c r="HT89" s="3"/>
      <c r="HU89" s="3"/>
      <c r="HV89" s="3"/>
      <c r="HW89" s="3"/>
      <c r="HX89" s="3"/>
      <c r="HY89" s="3"/>
      <c r="HZ89" s="3"/>
      <c r="IA89" s="3"/>
      <c r="IB89" s="3"/>
      <c r="IC89" s="3"/>
      <c r="ID89" s="3"/>
      <c r="IE89" s="3"/>
      <c r="IF89" s="3"/>
      <c r="IG89" s="3"/>
      <c r="IH89" s="3"/>
      <c r="II89" s="3"/>
      <c r="IJ89" s="3"/>
      <c r="IK89" s="3"/>
      <c r="IL89" s="3"/>
      <c r="IM89" s="3"/>
      <c r="IN89" s="3"/>
      <c r="IO89" s="3"/>
      <c r="IP89" s="3"/>
      <c r="IQ89" s="3"/>
      <c r="IR89" s="3"/>
      <c r="IS89" s="3"/>
      <c r="IT89" s="3"/>
      <c r="IU89" s="3"/>
      <c r="IV89" s="3"/>
      <c r="IW89" s="3"/>
      <c r="IX89" s="3"/>
      <c r="IY89" s="3"/>
      <c r="IZ89" s="3"/>
      <c r="JA89" s="3"/>
      <c r="JB89" s="3"/>
      <c r="JC89" s="3"/>
      <c r="JD89" s="3"/>
      <c r="JE89" s="3"/>
      <c r="JF89" s="3"/>
      <c r="JG89" s="3"/>
      <c r="JH89" s="3"/>
      <c r="JI89" s="3"/>
      <c r="JJ89" s="3"/>
      <c r="JK89" s="3"/>
      <c r="JL89" s="3"/>
      <c r="JM89" s="3"/>
      <c r="JN89" s="3"/>
      <c r="JO89" s="3"/>
      <c r="JP89" s="3"/>
      <c r="JQ89" s="3"/>
      <c r="JR89" s="3"/>
      <c r="JS89" s="3"/>
      <c r="JT89" s="3"/>
      <c r="JU89" s="3"/>
      <c r="JV89" s="3"/>
      <c r="JW89" s="3"/>
      <c r="JX89" s="3"/>
      <c r="JY89" s="3"/>
      <c r="JZ89" s="3"/>
      <c r="KA89" s="3"/>
      <c r="KB89" s="3"/>
      <c r="KC89" s="3"/>
      <c r="KD89" s="3"/>
      <c r="KE89" s="3"/>
      <c r="KF89" s="3"/>
      <c r="KG89" s="3"/>
      <c r="KH89" s="3"/>
      <c r="KI89" s="3"/>
      <c r="KJ89" s="3"/>
      <c r="KK89" s="3"/>
      <c r="KL89" s="3"/>
      <c r="KM89" s="3"/>
      <c r="KN89" s="3"/>
      <c r="KO89" s="3"/>
      <c r="KP89" s="3"/>
      <c r="KQ89" s="3"/>
      <c r="KR89" s="3"/>
      <c r="KS89" s="3"/>
      <c r="KT89" s="3"/>
      <c r="KU89" s="3"/>
      <c r="KV89" s="3"/>
      <c r="KW89" s="3"/>
      <c r="KX89" s="3"/>
      <c r="KY89" s="3"/>
      <c r="KZ89" s="3"/>
      <c r="LA89" s="3"/>
      <c r="LB89" s="3"/>
      <c r="LC89" s="3"/>
      <c r="LD89" s="3"/>
      <c r="LE89" s="3"/>
      <c r="LF89" s="3"/>
      <c r="LG89" s="3"/>
      <c r="LH89" s="3"/>
      <c r="LI89" s="3"/>
      <c r="LJ89" s="3"/>
      <c r="LK89" s="3"/>
      <c r="LL89" s="3"/>
      <c r="LM89" s="3"/>
      <c r="LN89" s="3"/>
      <c r="LO89" s="3"/>
      <c r="LP89" s="3"/>
      <c r="LQ89" s="3"/>
      <c r="LR89" s="3"/>
      <c r="LS89" s="3"/>
      <c r="LT89" s="3"/>
      <c r="LU89" s="3"/>
      <c r="LV89" s="3"/>
      <c r="LW89" s="3"/>
      <c r="LX89" s="3"/>
      <c r="LY89" s="3"/>
      <c r="LZ89" s="3"/>
      <c r="MA89" s="3"/>
      <c r="MB89" s="3"/>
      <c r="MC89" s="3"/>
      <c r="MD89" s="3"/>
      <c r="ME89" s="3"/>
      <c r="MF89" s="3"/>
      <c r="MG89" s="3"/>
      <c r="MH89" s="3"/>
      <c r="MI89" s="3"/>
      <c r="MJ89" s="3"/>
      <c r="MK89" s="3"/>
      <c r="ML89" s="3"/>
      <c r="MM89" s="3"/>
      <c r="MN89" s="3"/>
      <c r="MO89" s="3"/>
      <c r="MP89" s="3"/>
      <c r="MQ89" s="3"/>
      <c r="MR89" s="3"/>
      <c r="MS89" s="3"/>
      <c r="MT89" s="3"/>
      <c r="MU89" s="3"/>
      <c r="MV89" s="3"/>
      <c r="MW89" s="3"/>
      <c r="MX89" s="3"/>
      <c r="MY89" s="3"/>
      <c r="MZ89" s="3"/>
      <c r="NA89" s="3"/>
      <c r="NB89" s="3"/>
      <c r="NC89" s="3"/>
      <c r="ND89" s="3"/>
      <c r="NE89" s="3"/>
      <c r="NF89" s="3"/>
      <c r="NG89" s="3"/>
      <c r="NH89" s="3"/>
      <c r="NI89" s="3"/>
      <c r="NJ89" s="3"/>
      <c r="NK89" s="3"/>
      <c r="NL89" s="3"/>
      <c r="NM89" s="3"/>
      <c r="NN89" s="3"/>
      <c r="NO89" s="3"/>
      <c r="NP89" s="3"/>
      <c r="NQ89" s="3"/>
      <c r="NR89" s="3"/>
      <c r="NS89" s="3"/>
      <c r="NT89" s="3"/>
      <c r="NU89" s="3"/>
      <c r="NV89" s="3"/>
      <c r="NW89" s="3"/>
      <c r="NX89" s="3"/>
      <c r="NY89" s="3"/>
      <c r="NZ89" s="3"/>
      <c r="OA89" s="3"/>
      <c r="OB89" s="3"/>
      <c r="OC89" s="3"/>
      <c r="OD89" s="3"/>
      <c r="OE89" s="3"/>
      <c r="OF89" s="3"/>
      <c r="OG89" s="3"/>
      <c r="OH89" s="3"/>
      <c r="OI89" s="3"/>
      <c r="OJ89" s="3"/>
      <c r="OK89" s="3"/>
      <c r="OL89" s="3"/>
      <c r="OM89" s="3"/>
      <c r="ON89" s="3"/>
      <c r="OO89" s="3"/>
      <c r="OP89" s="3"/>
      <c r="OQ89" s="3"/>
      <c r="OR89" s="3"/>
      <c r="OS89" s="3"/>
      <c r="OT89" s="3"/>
      <c r="OU89" s="3"/>
      <c r="OV89" s="3"/>
      <c r="OW89" s="3"/>
      <c r="OX89" s="3"/>
      <c r="OY89" s="3"/>
      <c r="OZ89" s="3"/>
      <c r="PA89" s="3"/>
      <c r="PB89" s="3"/>
      <c r="PC89" s="3"/>
      <c r="PD89" s="3"/>
      <c r="PE89" s="3"/>
      <c r="PF89" s="3"/>
      <c r="PG89" s="3"/>
      <c r="PH89" s="3"/>
      <c r="PI89" s="3"/>
      <c r="PJ89" s="3"/>
      <c r="PK89" s="3"/>
      <c r="PL89" s="3"/>
      <c r="PM89" s="3"/>
      <c r="PN89" s="3"/>
      <c r="PO89" s="3"/>
      <c r="PP89" s="3"/>
      <c r="PQ89" s="3"/>
      <c r="PR89" s="3"/>
      <c r="PS89" s="3"/>
      <c r="PT89" s="3"/>
      <c r="PU89" s="3"/>
      <c r="PV89" s="3"/>
      <c r="PW89" s="3"/>
      <c r="PX89" s="3"/>
      <c r="PY89" s="3"/>
      <c r="PZ89" s="3"/>
      <c r="QA89" s="3"/>
      <c r="QB89" s="3"/>
      <c r="QC89" s="3"/>
      <c r="QD89" s="3"/>
      <c r="QE89" s="3"/>
      <c r="QF89" s="3"/>
      <c r="QG89" s="3"/>
      <c r="QH89" s="3"/>
      <c r="QI89" s="3"/>
      <c r="QJ89" s="3"/>
      <c r="QK89" s="3"/>
      <c r="QL89" s="3"/>
      <c r="QM89" s="3"/>
      <c r="QN89" s="3"/>
      <c r="QO89" s="3"/>
      <c r="QP89" s="3"/>
      <c r="QQ89" s="3"/>
      <c r="QR89" s="3"/>
      <c r="QS89" s="3"/>
      <c r="QT89" s="3"/>
      <c r="QU89" s="3"/>
      <c r="QV89" s="3"/>
      <c r="QW89" s="3"/>
      <c r="QX89" s="3"/>
      <c r="QY89" s="3"/>
      <c r="QZ89" s="3"/>
      <c r="RA89" s="3"/>
      <c r="RB89" s="3"/>
      <c r="RC89" s="3"/>
      <c r="RD89" s="3"/>
      <c r="RE89" s="3"/>
      <c r="RF89" s="3"/>
      <c r="RG89" s="3"/>
      <c r="RH89" s="3"/>
      <c r="RI89" s="3"/>
      <c r="RJ89" s="3"/>
      <c r="RK89" s="3"/>
      <c r="RL89" s="3"/>
      <c r="RM89" s="3"/>
      <c r="RN89" s="3"/>
      <c r="RO89" s="3"/>
      <c r="RP89" s="3"/>
      <c r="RQ89" s="3"/>
      <c r="RR89" s="3"/>
      <c r="RS89" s="3"/>
      <c r="RT89" s="3"/>
      <c r="RU89" s="3"/>
      <c r="RV89" s="3"/>
      <c r="RW89" s="3"/>
      <c r="RX89" s="3"/>
      <c r="RY89" s="3"/>
      <c r="RZ89" s="3"/>
      <c r="SA89" s="3"/>
      <c r="SB89" s="3"/>
      <c r="SC89" s="3"/>
      <c r="SD89" s="3"/>
      <c r="SE89" s="3"/>
      <c r="SF89" s="3"/>
      <c r="SG89" s="3"/>
      <c r="SH89" s="3"/>
      <c r="SI89" s="3"/>
      <c r="SJ89" s="3"/>
      <c r="SK89" s="3"/>
      <c r="SL89" s="3"/>
      <c r="SM89" s="3"/>
      <c r="SN89" s="3"/>
      <c r="SO89" s="3"/>
      <c r="SP89" s="3"/>
      <c r="SQ89" s="3"/>
      <c r="SR89" s="3"/>
      <c r="SS89" s="3"/>
      <c r="ST89" s="3"/>
      <c r="SU89" s="3"/>
      <c r="SV89" s="3"/>
      <c r="SW89" s="3"/>
      <c r="SX89" s="3"/>
      <c r="SY89" s="3"/>
      <c r="SZ89" s="3"/>
      <c r="TA89" s="3"/>
      <c r="TB89" s="3"/>
      <c r="TC89" s="3"/>
      <c r="TD89" s="3"/>
      <c r="TE89" s="3"/>
      <c r="TF89" s="3"/>
      <c r="TG89" s="3"/>
      <c r="TH89" s="3"/>
      <c r="TI89" s="3"/>
      <c r="TJ89" s="3"/>
      <c r="TK89" s="3"/>
      <c r="TL89" s="3"/>
      <c r="TM89" s="3"/>
      <c r="TN89" s="3"/>
      <c r="TO89" s="3"/>
      <c r="TP89" s="3"/>
      <c r="TQ89" s="3"/>
      <c r="TR89" s="3"/>
      <c r="TS89" s="3"/>
      <c r="TT89" s="3"/>
      <c r="TU89" s="3"/>
      <c r="TV89" s="3"/>
      <c r="TW89" s="3"/>
      <c r="TX89" s="3"/>
      <c r="TY89" s="3"/>
      <c r="TZ89" s="3"/>
      <c r="UA89" s="3"/>
      <c r="UB89" s="3"/>
      <c r="UC89" s="3"/>
      <c r="UD89" s="3"/>
      <c r="UE89" s="3"/>
      <c r="UF89" s="3"/>
      <c r="UG89" s="3"/>
      <c r="UH89" s="3"/>
      <c r="UI89" s="3"/>
      <c r="UJ89" s="3"/>
      <c r="UK89" s="3"/>
      <c r="UL89" s="3"/>
      <c r="UM89" s="3"/>
      <c r="UN89" s="3"/>
      <c r="UO89" s="3"/>
      <c r="UP89" s="3"/>
      <c r="UQ89" s="3"/>
      <c r="UR89" s="3"/>
      <c r="US89" s="3"/>
      <c r="UT89" s="3"/>
      <c r="UU89" s="3"/>
      <c r="UV89" s="3"/>
      <c r="UW89" s="3"/>
      <c r="UX89" s="3"/>
      <c r="UY89" s="3"/>
      <c r="UZ89" s="3"/>
      <c r="VA89" s="3"/>
      <c r="VB89" s="3"/>
      <c r="VC89" s="3"/>
      <c r="VD89" s="3"/>
      <c r="VE89" s="3"/>
      <c r="VF89" s="3"/>
      <c r="VG89" s="3"/>
      <c r="VH89" s="3"/>
      <c r="VI89" s="3"/>
      <c r="VJ89" s="3"/>
      <c r="VK89" s="3"/>
      <c r="VL89" s="3"/>
      <c r="VM89" s="3"/>
      <c r="VN89" s="3"/>
      <c r="VO89" s="3"/>
      <c r="VP89" s="3"/>
      <c r="VQ89" s="3"/>
      <c r="VR89" s="3"/>
      <c r="VS89" s="3"/>
      <c r="VT89" s="3"/>
      <c r="VU89" s="3"/>
      <c r="VV89" s="3"/>
      <c r="VW89" s="3"/>
      <c r="VX89" s="3"/>
      <c r="VY89" s="3"/>
      <c r="VZ89" s="3"/>
      <c r="WA89" s="3"/>
      <c r="WB89" s="3"/>
      <c r="WC89" s="3"/>
      <c r="WD89" s="3"/>
      <c r="WE89" s="3"/>
      <c r="WF89" s="3"/>
      <c r="WG89" s="3"/>
      <c r="WH89" s="3"/>
      <c r="WI89" s="3"/>
      <c r="WJ89" s="3"/>
      <c r="WK89" s="3"/>
      <c r="WL89" s="3"/>
      <c r="WM89" s="3"/>
      <c r="WN89" s="3"/>
      <c r="WO89" s="3"/>
      <c r="WP89" s="3"/>
      <c r="WQ89" s="3"/>
      <c r="WR89" s="3"/>
      <c r="WS89" s="3"/>
      <c r="WT89" s="3"/>
      <c r="WU89" s="3"/>
      <c r="WV89" s="3"/>
      <c r="WW89" s="3"/>
      <c r="WX89" s="3"/>
      <c r="WY89" s="3"/>
      <c r="WZ89" s="3"/>
      <c r="XA89" s="3"/>
      <c r="XB89" s="3"/>
      <c r="XC89" s="3"/>
      <c r="XD89" s="3"/>
      <c r="XE89" s="3"/>
      <c r="XF89" s="3"/>
      <c r="XG89" s="3"/>
      <c r="XH89" s="3"/>
      <c r="XI89" s="3"/>
      <c r="XJ89" s="3"/>
      <c r="XK89" s="3"/>
      <c r="XL89" s="3"/>
      <c r="XM89" s="3"/>
      <c r="XN89" s="3"/>
      <c r="XO89" s="3"/>
      <c r="XP89" s="3"/>
      <c r="XQ89" s="3"/>
      <c r="XR89" s="3"/>
      <c r="XS89" s="3"/>
      <c r="XT89" s="3"/>
      <c r="XU89" s="3"/>
      <c r="XV89" s="3"/>
      <c r="XW89" s="3"/>
      <c r="XX89" s="3"/>
      <c r="XY89" s="3"/>
      <c r="XZ89" s="3"/>
      <c r="YA89" s="3"/>
      <c r="YB89" s="3"/>
      <c r="YC89" s="3"/>
      <c r="YD89" s="3"/>
      <c r="YE89" s="3"/>
      <c r="YF89" s="3"/>
      <c r="YG89" s="3"/>
      <c r="YH89" s="3"/>
      <c r="YI89" s="3"/>
      <c r="YJ89" s="3"/>
      <c r="YK89" s="3"/>
      <c r="YL89" s="3"/>
      <c r="YM89" s="3"/>
      <c r="YN89" s="3"/>
      <c r="YO89" s="3"/>
      <c r="YP89" s="3"/>
      <c r="YQ89" s="3"/>
      <c r="YR89" s="3"/>
      <c r="YS89" s="3"/>
      <c r="YT89" s="3"/>
      <c r="YU89" s="3"/>
      <c r="YV89" s="3"/>
      <c r="YW89" s="3"/>
      <c r="YX89" s="3"/>
      <c r="YY89" s="3"/>
      <c r="YZ89" s="3"/>
      <c r="ZA89" s="3"/>
      <c r="ZB89" s="3"/>
      <c r="ZC89" s="3"/>
      <c r="ZD89" s="3"/>
      <c r="ZE89" s="3"/>
      <c r="ZF89" s="3"/>
      <c r="ZG89" s="3"/>
      <c r="ZH89" s="3"/>
      <c r="ZI89" s="3"/>
      <c r="ZJ89" s="3"/>
      <c r="ZK89" s="3"/>
      <c r="ZL89" s="3"/>
      <c r="ZM89" s="3"/>
      <c r="ZN89" s="3"/>
      <c r="ZO89" s="3"/>
      <c r="ZP89" s="3"/>
      <c r="ZQ89" s="3"/>
      <c r="ZR89" s="3"/>
      <c r="ZS89" s="3"/>
      <c r="ZT89" s="3"/>
      <c r="ZU89" s="3"/>
      <c r="ZV89" s="3"/>
      <c r="ZW89" s="3"/>
      <c r="ZX89" s="3"/>
      <c r="ZY89" s="3"/>
      <c r="ZZ89" s="3"/>
      <c r="AAA89" s="3"/>
      <c r="AAB89" s="3"/>
      <c r="AAC89" s="3"/>
      <c r="AAD89" s="3"/>
      <c r="AAE89" s="3"/>
      <c r="AAF89" s="3"/>
      <c r="AAG89" s="3"/>
      <c r="AAH89" s="3"/>
      <c r="AAI89" s="3"/>
      <c r="AAJ89" s="3"/>
      <c r="AAK89" s="3"/>
      <c r="AAL89" s="3"/>
      <c r="AAM89" s="3"/>
      <c r="AAN89" s="3"/>
      <c r="AAO89" s="3"/>
      <c r="AAP89" s="3"/>
      <c r="AAQ89" s="3"/>
      <c r="AAR89" s="3"/>
      <c r="AAS89" s="3"/>
      <c r="AAT89" s="3"/>
      <c r="AAU89" s="3"/>
      <c r="AAV89" s="3"/>
      <c r="AAW89" s="3"/>
      <c r="AAX89" s="3"/>
      <c r="AAY89" s="3"/>
      <c r="AAZ89" s="3"/>
      <c r="ABA89" s="3"/>
      <c r="ABB89" s="3"/>
      <c r="ABC89" s="3"/>
      <c r="ABD89" s="3"/>
      <c r="ABE89" s="3"/>
      <c r="ABF89" s="3"/>
      <c r="ABG89" s="3"/>
      <c r="ABH89" s="3"/>
      <c r="ABI89" s="3"/>
      <c r="ABJ89" s="3"/>
      <c r="ABK89" s="3"/>
      <c r="ABL89" s="3"/>
      <c r="ABM89" s="3"/>
      <c r="ABN89" s="3"/>
      <c r="ABO89" s="3"/>
      <c r="ABP89" s="3"/>
      <c r="ABQ89" s="3"/>
      <c r="ABR89" s="3"/>
      <c r="ABS89" s="3"/>
      <c r="ABT89" s="3"/>
      <c r="ABU89" s="3"/>
      <c r="ABV89" s="3"/>
      <c r="ABW89" s="3"/>
      <c r="ABX89" s="3"/>
      <c r="ABY89" s="3"/>
      <c r="ABZ89" s="3"/>
      <c r="ACA89" s="3"/>
      <c r="ACB89" s="3"/>
      <c r="ACC89" s="3"/>
      <c r="ACD89" s="3"/>
      <c r="ACE89" s="3"/>
      <c r="ACF89" s="3"/>
      <c r="ACG89" s="3"/>
      <c r="ACH89" s="3"/>
      <c r="ACI89" s="3"/>
      <c r="ACJ89" s="3"/>
      <c r="ACK89" s="3"/>
      <c r="ACL89" s="3"/>
      <c r="ACM89" s="3"/>
      <c r="ACN89" s="3"/>
      <c r="ACO89" s="3"/>
      <c r="ACP89" s="3"/>
      <c r="ACQ89" s="3"/>
      <c r="ACR89" s="3"/>
      <c r="ACS89" s="3"/>
      <c r="ACT89" s="3"/>
      <c r="ACU89" s="3"/>
      <c r="ACV89" s="3"/>
      <c r="ACW89" s="3"/>
      <c r="ACX89" s="3"/>
      <c r="ACY89" s="3"/>
      <c r="ACZ89" s="3"/>
      <c r="ADA89" s="3"/>
      <c r="ADB89" s="3"/>
      <c r="ADC89" s="3"/>
      <c r="ADD89" s="3"/>
      <c r="ADE89" s="3"/>
      <c r="ADF89" s="3"/>
      <c r="ADG89" s="3"/>
      <c r="ADH89" s="3"/>
      <c r="ADI89" s="3"/>
      <c r="ADJ89" s="3"/>
      <c r="ADK89" s="3"/>
    </row>
    <row r="90" spans="1:1351" x14ac:dyDescent="0.25">
      <c r="A90" s="26" t="s">
        <v>118</v>
      </c>
      <c r="B90" s="27"/>
      <c r="C90" s="10">
        <f>AVERAGE(logistics!B11:K11)</f>
        <v>1.2077629999999999E-4</v>
      </c>
      <c r="D90" s="11">
        <f>AVERAGE(logistics!B40:K40)</f>
        <v>1.7306899999999999E-5</v>
      </c>
      <c r="E90" s="15">
        <f t="shared" si="2"/>
        <v>1.4986529860258164</v>
      </c>
      <c r="F90" s="15">
        <f t="shared" si="3"/>
        <v>5.9785056827045864</v>
      </c>
      <c r="G90" s="6" t="s">
        <v>130</v>
      </c>
      <c r="H90" s="18">
        <v>1.7011027255775244</v>
      </c>
      <c r="I90" s="3"/>
      <c r="J90" s="6" t="s">
        <v>130</v>
      </c>
      <c r="K90" s="18">
        <v>11.382524172322199</v>
      </c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  <c r="DK90" s="3"/>
      <c r="DL90" s="3"/>
      <c r="DM90" s="3"/>
      <c r="DN90" s="3"/>
      <c r="DO90" s="3"/>
      <c r="DP90" s="3"/>
      <c r="DQ90" s="3"/>
      <c r="DR90" s="3"/>
      <c r="DS90" s="3"/>
      <c r="DT90" s="3"/>
      <c r="DU90" s="3"/>
      <c r="DV90" s="3"/>
      <c r="DW90" s="3"/>
      <c r="DX90" s="3"/>
      <c r="DY90" s="3"/>
      <c r="DZ90" s="3"/>
      <c r="EA90" s="3"/>
      <c r="EB90" s="3"/>
      <c r="EC90" s="3"/>
      <c r="ED90" s="3"/>
      <c r="EE90" s="3"/>
      <c r="EF90" s="3"/>
      <c r="EG90" s="3"/>
      <c r="EH90" s="3"/>
      <c r="EI90" s="3"/>
      <c r="EJ90" s="3"/>
      <c r="EK90" s="3"/>
      <c r="EL90" s="3"/>
      <c r="EM90" s="3"/>
      <c r="EN90" s="3"/>
      <c r="EO90" s="3"/>
      <c r="EP90" s="3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  <c r="FH90" s="3"/>
      <c r="FI90" s="3"/>
      <c r="FJ90" s="3"/>
      <c r="FK90" s="3"/>
      <c r="FL90" s="3"/>
      <c r="FM90" s="3"/>
      <c r="FN90" s="3"/>
      <c r="FO90" s="3"/>
      <c r="FP90" s="3"/>
      <c r="FQ90" s="3"/>
      <c r="FR90" s="3"/>
      <c r="FS90" s="3"/>
      <c r="FT90" s="3"/>
      <c r="FU90" s="3"/>
      <c r="FV90" s="3"/>
      <c r="FW90" s="3"/>
      <c r="FX90" s="3"/>
      <c r="FY90" s="3"/>
      <c r="FZ90" s="3"/>
      <c r="GA90" s="3"/>
      <c r="GB90" s="3"/>
      <c r="GC90" s="3"/>
      <c r="GD90" s="3"/>
      <c r="GE90" s="3"/>
      <c r="GF90" s="3"/>
      <c r="GG90" s="3"/>
      <c r="GH90" s="3"/>
      <c r="GI90" s="3"/>
      <c r="GJ90" s="3"/>
      <c r="GK90" s="3"/>
      <c r="GL90" s="3"/>
      <c r="GM90" s="3"/>
      <c r="GN90" s="3"/>
      <c r="GO90" s="3"/>
      <c r="GP90" s="3"/>
      <c r="GQ90" s="3"/>
      <c r="GR90" s="3"/>
      <c r="GS90" s="3"/>
      <c r="GT90" s="3"/>
      <c r="GU90" s="3"/>
      <c r="GV90" s="3"/>
      <c r="GW90" s="3"/>
      <c r="GX90" s="3"/>
      <c r="GY90" s="3"/>
      <c r="GZ90" s="3"/>
      <c r="HA90" s="3"/>
      <c r="HB90" s="3"/>
      <c r="HC90" s="3"/>
      <c r="HD90" s="3"/>
      <c r="HE90" s="3"/>
      <c r="HF90" s="3"/>
      <c r="HG90" s="3"/>
      <c r="HH90" s="3"/>
      <c r="HI90" s="3"/>
      <c r="HJ90" s="3"/>
      <c r="HK90" s="3"/>
      <c r="HL90" s="3"/>
      <c r="HM90" s="3"/>
      <c r="HN90" s="3"/>
      <c r="HO90" s="3"/>
      <c r="HP90" s="3"/>
      <c r="HQ90" s="3"/>
      <c r="HR90" s="3"/>
      <c r="HS90" s="3"/>
      <c r="HT90" s="3"/>
      <c r="HU90" s="3"/>
      <c r="HV90" s="3"/>
      <c r="HW90" s="3"/>
      <c r="HX90" s="3"/>
      <c r="HY90" s="3"/>
      <c r="HZ90" s="3"/>
      <c r="IA90" s="3"/>
      <c r="IB90" s="3"/>
      <c r="IC90" s="3"/>
      <c r="ID90" s="3"/>
      <c r="IE90" s="3"/>
      <c r="IF90" s="3"/>
      <c r="IG90" s="3"/>
      <c r="IH90" s="3"/>
      <c r="II90" s="3"/>
      <c r="IJ90" s="3"/>
      <c r="IK90" s="3"/>
      <c r="IL90" s="3"/>
      <c r="IM90" s="3"/>
      <c r="IN90" s="3"/>
      <c r="IO90" s="3"/>
      <c r="IP90" s="3"/>
      <c r="IQ90" s="3"/>
      <c r="IR90" s="3"/>
      <c r="IS90" s="3"/>
      <c r="IT90" s="3"/>
      <c r="IU90" s="3"/>
      <c r="IV90" s="3"/>
      <c r="IW90" s="3"/>
      <c r="IX90" s="3"/>
      <c r="IY90" s="3"/>
      <c r="IZ90" s="3"/>
      <c r="JA90" s="3"/>
      <c r="JB90" s="3"/>
      <c r="JC90" s="3"/>
      <c r="JD90" s="3"/>
      <c r="JE90" s="3"/>
      <c r="JF90" s="3"/>
      <c r="JG90" s="3"/>
      <c r="JH90" s="3"/>
      <c r="JI90" s="3"/>
      <c r="JJ90" s="3"/>
      <c r="JK90" s="3"/>
      <c r="JL90" s="3"/>
      <c r="JM90" s="3"/>
      <c r="JN90" s="3"/>
      <c r="JO90" s="3"/>
      <c r="JP90" s="3"/>
      <c r="JQ90" s="3"/>
      <c r="JR90" s="3"/>
      <c r="JS90" s="3"/>
      <c r="JT90" s="3"/>
      <c r="JU90" s="3"/>
      <c r="JV90" s="3"/>
      <c r="JW90" s="3"/>
      <c r="JX90" s="3"/>
      <c r="JY90" s="3"/>
      <c r="JZ90" s="3"/>
      <c r="KA90" s="3"/>
      <c r="KB90" s="3"/>
      <c r="KC90" s="3"/>
      <c r="KD90" s="3"/>
      <c r="KE90" s="3"/>
      <c r="KF90" s="3"/>
      <c r="KG90" s="3"/>
      <c r="KH90" s="3"/>
      <c r="KI90" s="3"/>
      <c r="KJ90" s="3"/>
      <c r="KK90" s="3"/>
      <c r="KL90" s="3"/>
      <c r="KM90" s="3"/>
      <c r="KN90" s="3"/>
      <c r="KO90" s="3"/>
      <c r="KP90" s="3"/>
      <c r="KQ90" s="3"/>
      <c r="KR90" s="3"/>
      <c r="KS90" s="3"/>
      <c r="KT90" s="3"/>
      <c r="KU90" s="3"/>
      <c r="KV90" s="3"/>
      <c r="KW90" s="3"/>
      <c r="KX90" s="3"/>
      <c r="KY90" s="3"/>
      <c r="KZ90" s="3"/>
      <c r="LA90" s="3"/>
      <c r="LB90" s="3"/>
      <c r="LC90" s="3"/>
      <c r="LD90" s="3"/>
      <c r="LE90" s="3"/>
      <c r="LF90" s="3"/>
      <c r="LG90" s="3"/>
      <c r="LH90" s="3"/>
      <c r="LI90" s="3"/>
      <c r="LJ90" s="3"/>
      <c r="LK90" s="3"/>
      <c r="LL90" s="3"/>
      <c r="LM90" s="3"/>
      <c r="LN90" s="3"/>
      <c r="LO90" s="3"/>
      <c r="LP90" s="3"/>
      <c r="LQ90" s="3"/>
      <c r="LR90" s="3"/>
      <c r="LS90" s="3"/>
      <c r="LT90" s="3"/>
      <c r="LU90" s="3"/>
      <c r="LV90" s="3"/>
      <c r="LW90" s="3"/>
      <c r="LX90" s="3"/>
      <c r="LY90" s="3"/>
      <c r="LZ90" s="3"/>
      <c r="MA90" s="3"/>
      <c r="MB90" s="3"/>
      <c r="MC90" s="3"/>
      <c r="MD90" s="3"/>
      <c r="ME90" s="3"/>
      <c r="MF90" s="3"/>
      <c r="MG90" s="3"/>
      <c r="MH90" s="3"/>
      <c r="MI90" s="3"/>
      <c r="MJ90" s="3"/>
      <c r="MK90" s="3"/>
      <c r="ML90" s="3"/>
      <c r="MM90" s="3"/>
      <c r="MN90" s="3"/>
      <c r="MO90" s="3"/>
      <c r="MP90" s="3"/>
      <c r="MQ90" s="3"/>
      <c r="MR90" s="3"/>
      <c r="MS90" s="3"/>
      <c r="MT90" s="3"/>
      <c r="MU90" s="3"/>
      <c r="MV90" s="3"/>
      <c r="MW90" s="3"/>
      <c r="MX90" s="3"/>
      <c r="MY90" s="3"/>
      <c r="MZ90" s="3"/>
      <c r="NA90" s="3"/>
      <c r="NB90" s="3"/>
      <c r="NC90" s="3"/>
      <c r="ND90" s="3"/>
      <c r="NE90" s="3"/>
      <c r="NF90" s="3"/>
      <c r="NG90" s="3"/>
      <c r="NH90" s="3"/>
      <c r="NI90" s="3"/>
      <c r="NJ90" s="3"/>
      <c r="NK90" s="3"/>
      <c r="NL90" s="3"/>
      <c r="NM90" s="3"/>
      <c r="NN90" s="3"/>
      <c r="NO90" s="3"/>
      <c r="NP90" s="3"/>
      <c r="NQ90" s="3"/>
      <c r="NR90" s="3"/>
      <c r="NS90" s="3"/>
      <c r="NT90" s="3"/>
      <c r="NU90" s="3"/>
      <c r="NV90" s="3"/>
      <c r="NW90" s="3"/>
      <c r="NX90" s="3"/>
      <c r="NY90" s="3"/>
      <c r="NZ90" s="3"/>
      <c r="OA90" s="3"/>
      <c r="OB90" s="3"/>
      <c r="OC90" s="3"/>
      <c r="OD90" s="3"/>
      <c r="OE90" s="3"/>
      <c r="OF90" s="3"/>
      <c r="OG90" s="3"/>
      <c r="OH90" s="3"/>
      <c r="OI90" s="3"/>
      <c r="OJ90" s="3"/>
      <c r="OK90" s="3"/>
      <c r="OL90" s="3"/>
      <c r="OM90" s="3"/>
      <c r="ON90" s="3"/>
      <c r="OO90" s="3"/>
      <c r="OP90" s="3"/>
      <c r="OQ90" s="3"/>
      <c r="OR90" s="3"/>
      <c r="OS90" s="3"/>
      <c r="OT90" s="3"/>
      <c r="OU90" s="3"/>
      <c r="OV90" s="3"/>
      <c r="OW90" s="3"/>
      <c r="OX90" s="3"/>
      <c r="OY90" s="3"/>
      <c r="OZ90" s="3"/>
      <c r="PA90" s="3"/>
      <c r="PB90" s="3"/>
      <c r="PC90" s="3"/>
      <c r="PD90" s="3"/>
      <c r="PE90" s="3"/>
      <c r="PF90" s="3"/>
      <c r="PG90" s="3"/>
      <c r="PH90" s="3"/>
      <c r="PI90" s="3"/>
      <c r="PJ90" s="3"/>
      <c r="PK90" s="3"/>
      <c r="PL90" s="3"/>
      <c r="PM90" s="3"/>
      <c r="PN90" s="3"/>
      <c r="PO90" s="3"/>
      <c r="PP90" s="3"/>
      <c r="PQ90" s="3"/>
      <c r="PR90" s="3"/>
      <c r="PS90" s="3"/>
      <c r="PT90" s="3"/>
      <c r="PU90" s="3"/>
      <c r="PV90" s="3"/>
      <c r="PW90" s="3"/>
      <c r="PX90" s="3"/>
      <c r="PY90" s="3"/>
      <c r="PZ90" s="3"/>
      <c r="QA90" s="3"/>
      <c r="QB90" s="3"/>
      <c r="QC90" s="3"/>
      <c r="QD90" s="3"/>
      <c r="QE90" s="3"/>
      <c r="QF90" s="3"/>
      <c r="QG90" s="3"/>
      <c r="QH90" s="3"/>
      <c r="QI90" s="3"/>
      <c r="QJ90" s="3"/>
      <c r="QK90" s="3"/>
      <c r="QL90" s="3"/>
      <c r="QM90" s="3"/>
      <c r="QN90" s="3"/>
      <c r="QO90" s="3"/>
      <c r="QP90" s="3"/>
      <c r="QQ90" s="3"/>
      <c r="QR90" s="3"/>
      <c r="QS90" s="3"/>
      <c r="QT90" s="3"/>
      <c r="QU90" s="3"/>
      <c r="QV90" s="3"/>
      <c r="QW90" s="3"/>
      <c r="QX90" s="3"/>
      <c r="QY90" s="3"/>
      <c r="QZ90" s="3"/>
      <c r="RA90" s="3"/>
      <c r="RB90" s="3"/>
      <c r="RC90" s="3"/>
      <c r="RD90" s="3"/>
      <c r="RE90" s="3"/>
      <c r="RF90" s="3"/>
      <c r="RG90" s="3"/>
      <c r="RH90" s="3"/>
      <c r="RI90" s="3"/>
      <c r="RJ90" s="3"/>
      <c r="RK90" s="3"/>
      <c r="RL90" s="3"/>
      <c r="RM90" s="3"/>
      <c r="RN90" s="3"/>
      <c r="RO90" s="3"/>
      <c r="RP90" s="3"/>
      <c r="RQ90" s="3"/>
      <c r="RR90" s="3"/>
      <c r="RS90" s="3"/>
      <c r="RT90" s="3"/>
      <c r="RU90" s="3"/>
      <c r="RV90" s="3"/>
      <c r="RW90" s="3"/>
      <c r="RX90" s="3"/>
      <c r="RY90" s="3"/>
      <c r="RZ90" s="3"/>
      <c r="SA90" s="3"/>
      <c r="SB90" s="3"/>
      <c r="SC90" s="3"/>
      <c r="SD90" s="3"/>
      <c r="SE90" s="3"/>
      <c r="SF90" s="3"/>
      <c r="SG90" s="3"/>
      <c r="SH90" s="3"/>
      <c r="SI90" s="3"/>
      <c r="SJ90" s="3"/>
      <c r="SK90" s="3"/>
      <c r="SL90" s="3"/>
      <c r="SM90" s="3"/>
      <c r="SN90" s="3"/>
      <c r="SO90" s="3"/>
      <c r="SP90" s="3"/>
      <c r="SQ90" s="3"/>
      <c r="SR90" s="3"/>
      <c r="SS90" s="3"/>
      <c r="ST90" s="3"/>
      <c r="SU90" s="3"/>
      <c r="SV90" s="3"/>
      <c r="SW90" s="3"/>
      <c r="SX90" s="3"/>
      <c r="SY90" s="3"/>
      <c r="SZ90" s="3"/>
      <c r="TA90" s="3"/>
      <c r="TB90" s="3"/>
      <c r="TC90" s="3"/>
      <c r="TD90" s="3"/>
      <c r="TE90" s="3"/>
      <c r="TF90" s="3"/>
      <c r="TG90" s="3"/>
      <c r="TH90" s="3"/>
      <c r="TI90" s="3"/>
      <c r="TJ90" s="3"/>
      <c r="TK90" s="3"/>
      <c r="TL90" s="3"/>
      <c r="TM90" s="3"/>
      <c r="TN90" s="3"/>
      <c r="TO90" s="3"/>
      <c r="TP90" s="3"/>
      <c r="TQ90" s="3"/>
      <c r="TR90" s="3"/>
      <c r="TS90" s="3"/>
      <c r="TT90" s="3"/>
      <c r="TU90" s="3"/>
      <c r="TV90" s="3"/>
      <c r="TW90" s="3"/>
      <c r="TX90" s="3"/>
      <c r="TY90" s="3"/>
      <c r="TZ90" s="3"/>
      <c r="UA90" s="3"/>
      <c r="UB90" s="3"/>
      <c r="UC90" s="3"/>
      <c r="UD90" s="3"/>
      <c r="UE90" s="3"/>
      <c r="UF90" s="3"/>
      <c r="UG90" s="3"/>
      <c r="UH90" s="3"/>
      <c r="UI90" s="3"/>
      <c r="UJ90" s="3"/>
      <c r="UK90" s="3"/>
      <c r="UL90" s="3"/>
      <c r="UM90" s="3"/>
      <c r="UN90" s="3"/>
      <c r="UO90" s="3"/>
      <c r="UP90" s="3"/>
      <c r="UQ90" s="3"/>
      <c r="UR90" s="3"/>
      <c r="US90" s="3"/>
      <c r="UT90" s="3"/>
      <c r="UU90" s="3"/>
      <c r="UV90" s="3"/>
      <c r="UW90" s="3"/>
      <c r="UX90" s="3"/>
      <c r="UY90" s="3"/>
      <c r="UZ90" s="3"/>
      <c r="VA90" s="3"/>
      <c r="VB90" s="3"/>
      <c r="VC90" s="3"/>
      <c r="VD90" s="3"/>
      <c r="VE90" s="3"/>
      <c r="VF90" s="3"/>
      <c r="VG90" s="3"/>
      <c r="VH90" s="3"/>
      <c r="VI90" s="3"/>
      <c r="VJ90" s="3"/>
      <c r="VK90" s="3"/>
      <c r="VL90" s="3"/>
      <c r="VM90" s="3"/>
      <c r="VN90" s="3"/>
      <c r="VO90" s="3"/>
      <c r="VP90" s="3"/>
      <c r="VQ90" s="3"/>
      <c r="VR90" s="3"/>
      <c r="VS90" s="3"/>
      <c r="VT90" s="3"/>
      <c r="VU90" s="3"/>
      <c r="VV90" s="3"/>
      <c r="VW90" s="3"/>
      <c r="VX90" s="3"/>
      <c r="VY90" s="3"/>
      <c r="VZ90" s="3"/>
      <c r="WA90" s="3"/>
      <c r="WB90" s="3"/>
      <c r="WC90" s="3"/>
      <c r="WD90" s="3"/>
      <c r="WE90" s="3"/>
      <c r="WF90" s="3"/>
      <c r="WG90" s="3"/>
      <c r="WH90" s="3"/>
      <c r="WI90" s="3"/>
      <c r="WJ90" s="3"/>
      <c r="WK90" s="3"/>
      <c r="WL90" s="3"/>
      <c r="WM90" s="3"/>
      <c r="WN90" s="3"/>
      <c r="WO90" s="3"/>
      <c r="WP90" s="3"/>
      <c r="WQ90" s="3"/>
      <c r="WR90" s="3"/>
      <c r="WS90" s="3"/>
      <c r="WT90" s="3"/>
      <c r="WU90" s="3"/>
      <c r="WV90" s="3"/>
      <c r="WW90" s="3"/>
      <c r="WX90" s="3"/>
      <c r="WY90" s="3"/>
      <c r="WZ90" s="3"/>
      <c r="XA90" s="3"/>
      <c r="XB90" s="3"/>
      <c r="XC90" s="3"/>
      <c r="XD90" s="3"/>
      <c r="XE90" s="3"/>
      <c r="XF90" s="3"/>
      <c r="XG90" s="3"/>
      <c r="XH90" s="3"/>
      <c r="XI90" s="3"/>
      <c r="XJ90" s="3"/>
      <c r="XK90" s="3"/>
      <c r="XL90" s="3"/>
      <c r="XM90" s="3"/>
      <c r="XN90" s="3"/>
      <c r="XO90" s="3"/>
      <c r="XP90" s="3"/>
      <c r="XQ90" s="3"/>
      <c r="XR90" s="3"/>
      <c r="XS90" s="3"/>
      <c r="XT90" s="3"/>
      <c r="XU90" s="3"/>
      <c r="XV90" s="3"/>
      <c r="XW90" s="3"/>
      <c r="XX90" s="3"/>
      <c r="XY90" s="3"/>
      <c r="XZ90" s="3"/>
      <c r="YA90" s="3"/>
      <c r="YB90" s="3"/>
      <c r="YC90" s="3"/>
      <c r="YD90" s="3"/>
      <c r="YE90" s="3"/>
      <c r="YF90" s="3"/>
      <c r="YG90" s="3"/>
      <c r="YH90" s="3"/>
      <c r="YI90" s="3"/>
      <c r="YJ90" s="3"/>
      <c r="YK90" s="3"/>
      <c r="YL90" s="3"/>
      <c r="YM90" s="3"/>
      <c r="YN90" s="3"/>
      <c r="YO90" s="3"/>
      <c r="YP90" s="3"/>
      <c r="YQ90" s="3"/>
      <c r="YR90" s="3"/>
      <c r="YS90" s="3"/>
      <c r="YT90" s="3"/>
      <c r="YU90" s="3"/>
      <c r="YV90" s="3"/>
      <c r="YW90" s="3"/>
      <c r="YX90" s="3"/>
      <c r="YY90" s="3"/>
      <c r="YZ90" s="3"/>
      <c r="ZA90" s="3"/>
      <c r="ZB90" s="3"/>
      <c r="ZC90" s="3"/>
      <c r="ZD90" s="3"/>
      <c r="ZE90" s="3"/>
      <c r="ZF90" s="3"/>
      <c r="ZG90" s="3"/>
      <c r="ZH90" s="3"/>
      <c r="ZI90" s="3"/>
      <c r="ZJ90" s="3"/>
      <c r="ZK90" s="3"/>
      <c r="ZL90" s="3"/>
      <c r="ZM90" s="3"/>
      <c r="ZN90" s="3"/>
      <c r="ZO90" s="3"/>
      <c r="ZP90" s="3"/>
      <c r="ZQ90" s="3"/>
      <c r="ZR90" s="3"/>
      <c r="ZS90" s="3"/>
      <c r="ZT90" s="3"/>
      <c r="ZU90" s="3"/>
      <c r="ZV90" s="3"/>
      <c r="ZW90" s="3"/>
      <c r="ZX90" s="3"/>
      <c r="ZY90" s="3"/>
      <c r="ZZ90" s="3"/>
      <c r="AAA90" s="3"/>
      <c r="AAB90" s="3"/>
      <c r="AAC90" s="3"/>
      <c r="AAD90" s="3"/>
      <c r="AAE90" s="3"/>
      <c r="AAF90" s="3"/>
      <c r="AAG90" s="3"/>
      <c r="AAH90" s="3"/>
      <c r="AAI90" s="3"/>
      <c r="AAJ90" s="3"/>
      <c r="AAK90" s="3"/>
      <c r="AAL90" s="3"/>
      <c r="AAM90" s="3"/>
      <c r="AAN90" s="3"/>
      <c r="AAO90" s="3"/>
      <c r="AAP90" s="3"/>
      <c r="AAQ90" s="3"/>
      <c r="AAR90" s="3"/>
      <c r="AAS90" s="3"/>
      <c r="AAT90" s="3"/>
      <c r="AAU90" s="3"/>
      <c r="AAV90" s="3"/>
      <c r="AAW90" s="3"/>
      <c r="AAX90" s="3"/>
      <c r="AAY90" s="3"/>
      <c r="AAZ90" s="3"/>
      <c r="ABA90" s="3"/>
      <c r="ABB90" s="3"/>
      <c r="ABC90" s="3"/>
      <c r="ABD90" s="3"/>
      <c r="ABE90" s="3"/>
      <c r="ABF90" s="3"/>
      <c r="ABG90" s="3"/>
      <c r="ABH90" s="3"/>
      <c r="ABI90" s="3"/>
      <c r="ABJ90" s="3"/>
      <c r="ABK90" s="3"/>
      <c r="ABL90" s="3"/>
      <c r="ABM90" s="3"/>
      <c r="ABN90" s="3"/>
      <c r="ABO90" s="3"/>
      <c r="ABP90" s="3"/>
      <c r="ABQ90" s="3"/>
      <c r="ABR90" s="3"/>
      <c r="ABS90" s="3"/>
      <c r="ABT90" s="3"/>
      <c r="ABU90" s="3"/>
      <c r="ABV90" s="3"/>
      <c r="ABW90" s="3"/>
      <c r="ABX90" s="3"/>
      <c r="ABY90" s="3"/>
      <c r="ABZ90" s="3"/>
      <c r="ACA90" s="3"/>
      <c r="ACB90" s="3"/>
      <c r="ACC90" s="3"/>
      <c r="ACD90" s="3"/>
      <c r="ACE90" s="3"/>
      <c r="ACF90" s="3"/>
      <c r="ACG90" s="3"/>
      <c r="ACH90" s="3"/>
      <c r="ACI90" s="3"/>
      <c r="ACJ90" s="3"/>
      <c r="ACK90" s="3"/>
      <c r="ACL90" s="3"/>
      <c r="ACM90" s="3"/>
      <c r="ACN90" s="3"/>
      <c r="ACO90" s="3"/>
      <c r="ACP90" s="3"/>
      <c r="ACQ90" s="3"/>
      <c r="ACR90" s="3"/>
      <c r="ACS90" s="3"/>
      <c r="ACT90" s="3"/>
      <c r="ACU90" s="3"/>
      <c r="ACV90" s="3"/>
      <c r="ACW90" s="3"/>
      <c r="ACX90" s="3"/>
      <c r="ACY90" s="3"/>
      <c r="ACZ90" s="3"/>
      <c r="ADA90" s="3"/>
      <c r="ADB90" s="3"/>
      <c r="ADC90" s="3"/>
      <c r="ADD90" s="3"/>
      <c r="ADE90" s="3"/>
      <c r="ADF90" s="3"/>
      <c r="ADG90" s="3"/>
      <c r="ADH90" s="3"/>
      <c r="ADI90" s="3"/>
      <c r="ADJ90" s="3"/>
      <c r="ADK90" s="3"/>
      <c r="ADL90" s="3"/>
      <c r="ADM90" s="3"/>
      <c r="ADN90" s="3"/>
      <c r="ADO90" s="3"/>
      <c r="ADP90" s="3"/>
      <c r="ADQ90" s="3"/>
      <c r="ADR90" s="3"/>
      <c r="ADS90" s="3"/>
      <c r="ADT90" s="3"/>
      <c r="ADU90" s="3"/>
      <c r="ADV90" s="3"/>
      <c r="ADW90" s="3"/>
      <c r="ADX90" s="3"/>
      <c r="ADY90" s="3"/>
      <c r="ADZ90" s="3"/>
      <c r="AEA90" s="3"/>
      <c r="AEB90" s="3"/>
      <c r="AEC90" s="3"/>
      <c r="AED90" s="3"/>
      <c r="AEE90" s="3"/>
      <c r="AEF90" s="3"/>
      <c r="AEG90" s="3"/>
      <c r="AEH90" s="3"/>
      <c r="AEI90" s="3"/>
      <c r="AEJ90" s="3"/>
      <c r="AEK90" s="3"/>
      <c r="AEL90" s="3"/>
      <c r="AEM90" s="3"/>
      <c r="AEN90" s="3"/>
      <c r="AEO90" s="3"/>
      <c r="AEP90" s="3"/>
      <c r="AEQ90" s="3"/>
      <c r="AER90" s="3"/>
      <c r="AES90" s="3"/>
      <c r="AET90" s="3"/>
      <c r="AEU90" s="3"/>
      <c r="AEV90" s="3"/>
      <c r="AEW90" s="3"/>
      <c r="AEX90" s="3"/>
      <c r="AEY90" s="3"/>
      <c r="AEZ90" s="3"/>
      <c r="AFA90" s="3"/>
      <c r="AFB90" s="3"/>
      <c r="AFC90" s="3"/>
      <c r="AFD90" s="3"/>
      <c r="AFE90" s="3"/>
      <c r="AFF90" s="3"/>
      <c r="AFG90" s="3"/>
      <c r="AFH90" s="3"/>
      <c r="AFI90" s="3"/>
      <c r="AFJ90" s="3"/>
      <c r="AFK90" s="3"/>
      <c r="AFL90" s="3"/>
      <c r="AFM90" s="3"/>
      <c r="AFN90" s="3"/>
      <c r="AFO90" s="3"/>
      <c r="AFP90" s="3"/>
      <c r="AFQ90" s="3"/>
      <c r="AFR90" s="3"/>
      <c r="AFS90" s="3"/>
      <c r="AFT90" s="3"/>
      <c r="AFU90" s="3"/>
      <c r="AFV90" s="3"/>
      <c r="AFW90" s="3"/>
      <c r="AFX90" s="3"/>
      <c r="AFY90" s="3"/>
      <c r="AFZ90" s="3"/>
      <c r="AGA90" s="3"/>
      <c r="AGB90" s="3"/>
      <c r="AGC90" s="3"/>
      <c r="AGD90" s="3"/>
      <c r="AGE90" s="3"/>
      <c r="AGF90" s="3"/>
      <c r="AGG90" s="3"/>
      <c r="AGH90" s="3"/>
      <c r="AGI90" s="3"/>
      <c r="AGJ90" s="3"/>
      <c r="AGK90" s="3"/>
      <c r="AGL90" s="3"/>
      <c r="AGM90" s="3"/>
    </row>
    <row r="91" spans="1:1351" x14ac:dyDescent="0.25">
      <c r="A91" s="26" t="s">
        <v>119</v>
      </c>
      <c r="B91" s="27"/>
      <c r="C91" s="10">
        <f>AVERAGE(logistics!B12:K12)</f>
        <v>1.2357539999999998E-4</v>
      </c>
      <c r="D91" s="11">
        <f>AVERAGE(logistics!B41:K41)</f>
        <v>1.6001000000000001E-5</v>
      </c>
      <c r="E91" s="15">
        <f t="shared" si="2"/>
        <v>1.541441103223754</v>
      </c>
      <c r="F91" s="15">
        <f t="shared" si="3"/>
        <v>6.7229798137616381</v>
      </c>
      <c r="G91" s="6" t="s">
        <v>133</v>
      </c>
      <c r="H91" s="18">
        <v>1.7166140410297874</v>
      </c>
      <c r="I91" s="3"/>
      <c r="J91" s="6" t="s">
        <v>133</v>
      </c>
      <c r="K91" s="18">
        <v>12.115025368707306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  <c r="DK91" s="3"/>
      <c r="DL91" s="3"/>
      <c r="DM91" s="3"/>
      <c r="DN91" s="3"/>
      <c r="DO91" s="3"/>
      <c r="DP91" s="3"/>
      <c r="DQ91" s="3"/>
      <c r="DR91" s="3"/>
      <c r="DS91" s="3"/>
      <c r="DT91" s="3"/>
      <c r="DU91" s="3"/>
      <c r="DV91" s="3"/>
      <c r="DW91" s="3"/>
      <c r="DX91" s="3"/>
      <c r="DY91" s="3"/>
      <c r="DZ91" s="3"/>
      <c r="EA91" s="3"/>
      <c r="EB91" s="3"/>
      <c r="EC91" s="3"/>
      <c r="ED91" s="3"/>
      <c r="EE91" s="3"/>
      <c r="EF91" s="3"/>
      <c r="EG91" s="3"/>
      <c r="EH91" s="3"/>
      <c r="EI91" s="3"/>
      <c r="EJ91" s="3"/>
      <c r="EK91" s="3"/>
      <c r="EL91" s="3"/>
      <c r="EM91" s="3"/>
      <c r="EN91" s="3"/>
      <c r="EO91" s="3"/>
      <c r="EP91" s="3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  <c r="FH91" s="3"/>
      <c r="FI91" s="3"/>
      <c r="FJ91" s="3"/>
      <c r="FK91" s="3"/>
      <c r="FL91" s="3"/>
      <c r="FM91" s="3"/>
      <c r="FN91" s="3"/>
      <c r="FO91" s="3"/>
      <c r="FP91" s="3"/>
      <c r="FQ91" s="3"/>
      <c r="FR91" s="3"/>
      <c r="FS91" s="3"/>
      <c r="FT91" s="3"/>
      <c r="FU91" s="3"/>
      <c r="FV91" s="3"/>
      <c r="FW91" s="3"/>
      <c r="FX91" s="3"/>
      <c r="FY91" s="3"/>
      <c r="FZ91" s="3"/>
      <c r="GA91" s="3"/>
      <c r="GB91" s="3"/>
      <c r="GC91" s="3"/>
      <c r="GD91" s="3"/>
      <c r="GE91" s="3"/>
      <c r="GF91" s="3"/>
      <c r="GG91" s="3"/>
      <c r="GH91" s="3"/>
      <c r="GI91" s="3"/>
      <c r="GJ91" s="3"/>
      <c r="GK91" s="3"/>
      <c r="GL91" s="3"/>
      <c r="GM91" s="3"/>
      <c r="GN91" s="3"/>
      <c r="GO91" s="3"/>
      <c r="GP91" s="3"/>
      <c r="GQ91" s="3"/>
      <c r="GR91" s="3"/>
      <c r="GS91" s="3"/>
      <c r="GT91" s="3"/>
      <c r="GU91" s="3"/>
      <c r="GV91" s="3"/>
      <c r="GW91" s="3"/>
      <c r="GX91" s="3"/>
      <c r="GY91" s="3"/>
      <c r="GZ91" s="3"/>
      <c r="HA91" s="3"/>
      <c r="HB91" s="3"/>
      <c r="HC91" s="3"/>
      <c r="HD91" s="3"/>
      <c r="HE91" s="3"/>
      <c r="HF91" s="3"/>
      <c r="HG91" s="3"/>
      <c r="HH91" s="3"/>
      <c r="HI91" s="3"/>
      <c r="HJ91" s="3"/>
      <c r="HK91" s="3"/>
      <c r="HL91" s="3"/>
      <c r="HM91" s="3"/>
      <c r="HN91" s="3"/>
      <c r="HO91" s="3"/>
      <c r="HP91" s="3"/>
      <c r="HQ91" s="3"/>
      <c r="HR91" s="3"/>
      <c r="HS91" s="3"/>
      <c r="HT91" s="3"/>
      <c r="HU91" s="3"/>
      <c r="HV91" s="3"/>
      <c r="HW91" s="3"/>
      <c r="HX91" s="3"/>
      <c r="HY91" s="3"/>
      <c r="HZ91" s="3"/>
      <c r="IA91" s="3"/>
      <c r="IB91" s="3"/>
      <c r="IC91" s="3"/>
      <c r="ID91" s="3"/>
      <c r="IE91" s="3"/>
      <c r="IF91" s="3"/>
      <c r="IG91" s="3"/>
      <c r="IH91" s="3"/>
      <c r="II91" s="3"/>
      <c r="IJ91" s="3"/>
      <c r="IK91" s="3"/>
      <c r="IL91" s="3"/>
      <c r="IM91" s="3"/>
      <c r="IN91" s="3"/>
      <c r="IO91" s="3"/>
      <c r="IP91" s="3"/>
      <c r="IQ91" s="3"/>
      <c r="IR91" s="3"/>
      <c r="IS91" s="3"/>
      <c r="IT91" s="3"/>
      <c r="IU91" s="3"/>
      <c r="IV91" s="3"/>
      <c r="IW91" s="3"/>
      <c r="IX91" s="3"/>
      <c r="IY91" s="3"/>
      <c r="IZ91" s="3"/>
      <c r="JA91" s="3"/>
      <c r="JB91" s="3"/>
      <c r="JC91" s="3"/>
      <c r="JD91" s="3"/>
      <c r="JE91" s="3"/>
      <c r="JF91" s="3"/>
      <c r="JG91" s="3"/>
      <c r="JH91" s="3"/>
      <c r="JI91" s="3"/>
      <c r="JJ91" s="3"/>
      <c r="JK91" s="3"/>
      <c r="JL91" s="3"/>
      <c r="JM91" s="3"/>
      <c r="JN91" s="3"/>
      <c r="JO91" s="3"/>
      <c r="JP91" s="3"/>
      <c r="JQ91" s="3"/>
      <c r="JR91" s="3"/>
      <c r="JS91" s="3"/>
      <c r="JT91" s="3"/>
      <c r="JU91" s="3"/>
      <c r="JV91" s="3"/>
      <c r="JW91" s="3"/>
      <c r="JX91" s="3"/>
      <c r="JY91" s="3"/>
      <c r="JZ91" s="3"/>
      <c r="KA91" s="3"/>
      <c r="KB91" s="3"/>
      <c r="KC91" s="3"/>
      <c r="KD91" s="3"/>
      <c r="KE91" s="3"/>
      <c r="KF91" s="3"/>
      <c r="KG91" s="3"/>
      <c r="KH91" s="3"/>
      <c r="KI91" s="3"/>
      <c r="KJ91" s="3"/>
      <c r="KK91" s="3"/>
      <c r="KL91" s="3"/>
      <c r="KM91" s="3"/>
      <c r="KN91" s="3"/>
      <c r="KO91" s="3"/>
      <c r="KP91" s="3"/>
      <c r="KQ91" s="3"/>
      <c r="KR91" s="3"/>
      <c r="KS91" s="3"/>
      <c r="KT91" s="3"/>
      <c r="KU91" s="3"/>
      <c r="KV91" s="3"/>
      <c r="KW91" s="3"/>
      <c r="KX91" s="3"/>
      <c r="KY91" s="3"/>
      <c r="KZ91" s="3"/>
      <c r="LA91" s="3"/>
      <c r="LB91" s="3"/>
      <c r="LC91" s="3"/>
      <c r="LD91" s="3"/>
      <c r="LE91" s="3"/>
      <c r="LF91" s="3"/>
      <c r="LG91" s="3"/>
      <c r="LH91" s="3"/>
      <c r="LI91" s="3"/>
      <c r="LJ91" s="3"/>
      <c r="LK91" s="3"/>
      <c r="LL91" s="3"/>
      <c r="LM91" s="3"/>
      <c r="LN91" s="3"/>
      <c r="LO91" s="3"/>
      <c r="LP91" s="3"/>
      <c r="LQ91" s="3"/>
      <c r="LR91" s="3"/>
      <c r="LS91" s="3"/>
      <c r="LT91" s="3"/>
      <c r="LU91" s="3"/>
      <c r="LV91" s="3"/>
      <c r="LW91" s="3"/>
      <c r="LX91" s="3"/>
      <c r="LY91" s="3"/>
      <c r="LZ91" s="3"/>
      <c r="MA91" s="3"/>
      <c r="MB91" s="3"/>
      <c r="MC91" s="3"/>
      <c r="MD91" s="3"/>
      <c r="ME91" s="3"/>
      <c r="MF91" s="3"/>
      <c r="MG91" s="3"/>
      <c r="MH91" s="3"/>
      <c r="MI91" s="3"/>
      <c r="MJ91" s="3"/>
      <c r="MK91" s="3"/>
      <c r="ML91" s="3"/>
      <c r="MM91" s="3"/>
      <c r="MN91" s="3"/>
      <c r="MO91" s="3"/>
      <c r="MP91" s="3"/>
      <c r="MQ91" s="3"/>
      <c r="MR91" s="3"/>
      <c r="MS91" s="3"/>
      <c r="MT91" s="3"/>
      <c r="MU91" s="3"/>
      <c r="MV91" s="3"/>
      <c r="MW91" s="3"/>
      <c r="MX91" s="3"/>
      <c r="MY91" s="3"/>
      <c r="MZ91" s="3"/>
      <c r="NA91" s="3"/>
      <c r="NB91" s="3"/>
      <c r="NC91" s="3"/>
      <c r="ND91" s="3"/>
      <c r="NE91" s="3"/>
      <c r="NF91" s="3"/>
      <c r="NG91" s="3"/>
      <c r="NH91" s="3"/>
      <c r="NI91" s="3"/>
      <c r="NJ91" s="3"/>
      <c r="NK91" s="3"/>
      <c r="NL91" s="3"/>
      <c r="NM91" s="3"/>
      <c r="NN91" s="3"/>
      <c r="NO91" s="3"/>
      <c r="NP91" s="3"/>
      <c r="NQ91" s="3"/>
      <c r="NR91" s="3"/>
      <c r="NS91" s="3"/>
      <c r="NT91" s="3"/>
      <c r="NU91" s="3"/>
      <c r="NV91" s="3"/>
      <c r="NW91" s="3"/>
      <c r="NX91" s="3"/>
      <c r="NY91" s="3"/>
      <c r="NZ91" s="3"/>
      <c r="OA91" s="3"/>
      <c r="OB91" s="3"/>
      <c r="OC91" s="3"/>
      <c r="OD91" s="3"/>
      <c r="OE91" s="3"/>
      <c r="OF91" s="3"/>
      <c r="OG91" s="3"/>
      <c r="OH91" s="3"/>
      <c r="OI91" s="3"/>
      <c r="OJ91" s="3"/>
      <c r="OK91" s="3"/>
      <c r="OL91" s="3"/>
      <c r="OM91" s="3"/>
      <c r="ON91" s="3"/>
      <c r="OO91" s="3"/>
      <c r="OP91" s="3"/>
      <c r="OQ91" s="3"/>
      <c r="OR91" s="3"/>
      <c r="OS91" s="3"/>
      <c r="OT91" s="3"/>
      <c r="OU91" s="3"/>
      <c r="OV91" s="3"/>
      <c r="OW91" s="3"/>
      <c r="OX91" s="3"/>
      <c r="OY91" s="3"/>
      <c r="OZ91" s="3"/>
      <c r="PA91" s="3"/>
      <c r="PB91" s="3"/>
      <c r="PC91" s="3"/>
      <c r="PD91" s="3"/>
      <c r="PE91" s="3"/>
      <c r="PF91" s="3"/>
      <c r="PG91" s="3"/>
      <c r="PH91" s="3"/>
      <c r="PI91" s="3"/>
      <c r="PJ91" s="3"/>
      <c r="PK91" s="3"/>
      <c r="PL91" s="3"/>
      <c r="PM91" s="3"/>
      <c r="PN91" s="3"/>
      <c r="PO91" s="3"/>
      <c r="PP91" s="3"/>
      <c r="PQ91" s="3"/>
      <c r="PR91" s="3"/>
      <c r="PS91" s="3"/>
      <c r="PT91" s="3"/>
      <c r="PU91" s="3"/>
      <c r="PV91" s="3"/>
      <c r="PW91" s="3"/>
      <c r="PX91" s="3"/>
      <c r="PY91" s="3"/>
      <c r="PZ91" s="3"/>
      <c r="QA91" s="3"/>
      <c r="QB91" s="3"/>
      <c r="QC91" s="3"/>
      <c r="QD91" s="3"/>
      <c r="QE91" s="3"/>
      <c r="QF91" s="3"/>
      <c r="QG91" s="3"/>
      <c r="QH91" s="3"/>
      <c r="QI91" s="3"/>
      <c r="QJ91" s="3"/>
      <c r="QK91" s="3"/>
      <c r="QL91" s="3"/>
      <c r="QM91" s="3"/>
      <c r="QN91" s="3"/>
      <c r="QO91" s="3"/>
      <c r="QP91" s="3"/>
      <c r="QQ91" s="3"/>
      <c r="QR91" s="3"/>
      <c r="QS91" s="3"/>
      <c r="QT91" s="3"/>
      <c r="QU91" s="3"/>
      <c r="QV91" s="3"/>
      <c r="QW91" s="3"/>
      <c r="QX91" s="3"/>
      <c r="QY91" s="3"/>
      <c r="QZ91" s="3"/>
      <c r="RA91" s="3"/>
      <c r="RB91" s="3"/>
      <c r="RC91" s="3"/>
      <c r="RD91" s="3"/>
      <c r="RE91" s="3"/>
      <c r="RF91" s="3"/>
      <c r="RG91" s="3"/>
      <c r="RH91" s="3"/>
      <c r="RI91" s="3"/>
      <c r="RJ91" s="3"/>
      <c r="RK91" s="3"/>
      <c r="RL91" s="3"/>
      <c r="RM91" s="3"/>
      <c r="RN91" s="3"/>
      <c r="RO91" s="3"/>
      <c r="RP91" s="3"/>
      <c r="RQ91" s="3"/>
      <c r="RR91" s="3"/>
      <c r="RS91" s="3"/>
      <c r="RT91" s="3"/>
      <c r="RU91" s="3"/>
      <c r="RV91" s="3"/>
      <c r="RW91" s="3"/>
      <c r="RX91" s="3"/>
      <c r="RY91" s="3"/>
      <c r="RZ91" s="3"/>
      <c r="SA91" s="3"/>
      <c r="SB91" s="3"/>
      <c r="SC91" s="3"/>
      <c r="SD91" s="3"/>
      <c r="SE91" s="3"/>
      <c r="SF91" s="3"/>
      <c r="SG91" s="3"/>
      <c r="SH91" s="3"/>
      <c r="SI91" s="3"/>
      <c r="SJ91" s="3"/>
      <c r="SK91" s="3"/>
      <c r="SL91" s="3"/>
      <c r="SM91" s="3"/>
      <c r="SN91" s="3"/>
      <c r="SO91" s="3"/>
      <c r="SP91" s="3"/>
      <c r="SQ91" s="3"/>
      <c r="SR91" s="3"/>
      <c r="SS91" s="3"/>
      <c r="ST91" s="3"/>
      <c r="SU91" s="3"/>
      <c r="SV91" s="3"/>
      <c r="SW91" s="3"/>
      <c r="SX91" s="3"/>
      <c r="SY91" s="3"/>
      <c r="SZ91" s="3"/>
      <c r="TA91" s="3"/>
      <c r="TB91" s="3"/>
      <c r="TC91" s="3"/>
      <c r="TD91" s="3"/>
      <c r="TE91" s="3"/>
      <c r="TF91" s="3"/>
      <c r="TG91" s="3"/>
      <c r="TH91" s="3"/>
      <c r="TI91" s="3"/>
      <c r="TJ91" s="3"/>
      <c r="TK91" s="3"/>
      <c r="TL91" s="3"/>
      <c r="TM91" s="3"/>
      <c r="TN91" s="3"/>
      <c r="TO91" s="3"/>
      <c r="TP91" s="3"/>
      <c r="TQ91" s="3"/>
      <c r="TR91" s="3"/>
      <c r="TS91" s="3"/>
      <c r="TT91" s="3"/>
      <c r="TU91" s="3"/>
      <c r="TV91" s="3"/>
      <c r="TW91" s="3"/>
      <c r="TX91" s="3"/>
      <c r="TY91" s="3"/>
      <c r="TZ91" s="3"/>
      <c r="UA91" s="3"/>
      <c r="UB91" s="3"/>
      <c r="UC91" s="3"/>
      <c r="UD91" s="3"/>
      <c r="UE91" s="3"/>
      <c r="UF91" s="3"/>
      <c r="UG91" s="3"/>
      <c r="UH91" s="3"/>
      <c r="UI91" s="3"/>
      <c r="UJ91" s="3"/>
      <c r="UK91" s="3"/>
      <c r="UL91" s="3"/>
      <c r="UM91" s="3"/>
      <c r="UN91" s="3"/>
      <c r="UO91" s="3"/>
      <c r="UP91" s="3"/>
      <c r="UQ91" s="3"/>
      <c r="UR91" s="3"/>
      <c r="US91" s="3"/>
      <c r="UT91" s="3"/>
      <c r="UU91" s="3"/>
      <c r="UV91" s="3"/>
      <c r="UW91" s="3"/>
      <c r="UX91" s="3"/>
      <c r="UY91" s="3"/>
      <c r="UZ91" s="3"/>
      <c r="VA91" s="3"/>
      <c r="VB91" s="3"/>
      <c r="VC91" s="3"/>
      <c r="VD91" s="3"/>
      <c r="VE91" s="3"/>
      <c r="VF91" s="3"/>
      <c r="VG91" s="3"/>
      <c r="VH91" s="3"/>
      <c r="VI91" s="3"/>
      <c r="VJ91" s="3"/>
      <c r="VK91" s="3"/>
      <c r="VL91" s="3"/>
      <c r="VM91" s="3"/>
      <c r="VN91" s="3"/>
      <c r="VO91" s="3"/>
      <c r="VP91" s="3"/>
      <c r="VQ91" s="3"/>
      <c r="VR91" s="3"/>
      <c r="VS91" s="3"/>
      <c r="VT91" s="3"/>
      <c r="VU91" s="3"/>
      <c r="VV91" s="3"/>
      <c r="VW91" s="3"/>
      <c r="VX91" s="3"/>
      <c r="VY91" s="3"/>
      <c r="VZ91" s="3"/>
      <c r="WA91" s="3"/>
      <c r="WB91" s="3"/>
      <c r="WC91" s="3"/>
      <c r="WD91" s="3"/>
      <c r="WE91" s="3"/>
      <c r="WF91" s="3"/>
      <c r="WG91" s="3"/>
      <c r="WH91" s="3"/>
      <c r="WI91" s="3"/>
      <c r="WJ91" s="3"/>
      <c r="WK91" s="3"/>
      <c r="WL91" s="3"/>
      <c r="WM91" s="3"/>
      <c r="WN91" s="3"/>
      <c r="WO91" s="3"/>
      <c r="WP91" s="3"/>
      <c r="WQ91" s="3"/>
      <c r="WR91" s="3"/>
      <c r="WS91" s="3"/>
      <c r="WT91" s="3"/>
      <c r="WU91" s="3"/>
      <c r="WV91" s="3"/>
      <c r="WW91" s="3"/>
      <c r="WX91" s="3"/>
      <c r="WY91" s="3"/>
      <c r="WZ91" s="3"/>
      <c r="XA91" s="3"/>
      <c r="XB91" s="3"/>
      <c r="XC91" s="3"/>
      <c r="XD91" s="3"/>
      <c r="XE91" s="3"/>
      <c r="XF91" s="3"/>
      <c r="XG91" s="3"/>
      <c r="XH91" s="3"/>
      <c r="XI91" s="3"/>
      <c r="XJ91" s="3"/>
      <c r="XK91" s="3"/>
      <c r="XL91" s="3"/>
      <c r="XM91" s="3"/>
      <c r="XN91" s="3"/>
      <c r="XO91" s="3"/>
      <c r="XP91" s="3"/>
      <c r="XQ91" s="3"/>
      <c r="XR91" s="3"/>
      <c r="XS91" s="3"/>
      <c r="XT91" s="3"/>
      <c r="XU91" s="3"/>
      <c r="XV91" s="3"/>
      <c r="XW91" s="3"/>
      <c r="XX91" s="3"/>
      <c r="XY91" s="3"/>
      <c r="XZ91" s="3"/>
      <c r="YA91" s="3"/>
      <c r="YB91" s="3"/>
      <c r="YC91" s="3"/>
      <c r="YD91" s="3"/>
      <c r="YE91" s="3"/>
      <c r="YF91" s="3"/>
      <c r="YG91" s="3"/>
      <c r="YH91" s="3"/>
      <c r="YI91" s="3"/>
      <c r="YJ91" s="3"/>
      <c r="YK91" s="3"/>
      <c r="YL91" s="3"/>
      <c r="YM91" s="3"/>
      <c r="YN91" s="3"/>
      <c r="YO91" s="3"/>
      <c r="YP91" s="3"/>
      <c r="YQ91" s="3"/>
      <c r="YR91" s="3"/>
      <c r="YS91" s="3"/>
      <c r="YT91" s="3"/>
      <c r="YU91" s="3"/>
      <c r="YV91" s="3"/>
      <c r="YW91" s="3"/>
      <c r="YX91" s="3"/>
      <c r="YY91" s="3"/>
      <c r="YZ91" s="3"/>
      <c r="ZA91" s="3"/>
      <c r="ZB91" s="3"/>
      <c r="ZC91" s="3"/>
      <c r="ZD91" s="3"/>
      <c r="ZE91" s="3"/>
      <c r="ZF91" s="3"/>
      <c r="ZG91" s="3"/>
      <c r="ZH91" s="3"/>
      <c r="ZI91" s="3"/>
      <c r="ZJ91" s="3"/>
      <c r="ZK91" s="3"/>
      <c r="ZL91" s="3"/>
      <c r="ZM91" s="3"/>
      <c r="ZN91" s="3"/>
      <c r="ZO91" s="3"/>
      <c r="ZP91" s="3"/>
      <c r="ZQ91" s="3"/>
      <c r="ZR91" s="3"/>
      <c r="ZS91" s="3"/>
      <c r="ZT91" s="3"/>
      <c r="ZU91" s="3"/>
      <c r="ZV91" s="3"/>
      <c r="ZW91" s="3"/>
      <c r="ZX91" s="3"/>
      <c r="ZY91" s="3"/>
      <c r="ZZ91" s="3"/>
      <c r="AAA91" s="3"/>
      <c r="AAB91" s="3"/>
      <c r="AAC91" s="3"/>
      <c r="AAD91" s="3"/>
      <c r="AAE91" s="3"/>
      <c r="AAF91" s="3"/>
      <c r="AAG91" s="3"/>
      <c r="AAH91" s="3"/>
      <c r="AAI91" s="3"/>
      <c r="AAJ91" s="3"/>
      <c r="AAK91" s="3"/>
      <c r="AAL91" s="3"/>
      <c r="AAM91" s="3"/>
      <c r="AAN91" s="3"/>
      <c r="AAO91" s="3"/>
      <c r="AAP91" s="3"/>
      <c r="AAQ91" s="3"/>
      <c r="AAR91" s="3"/>
      <c r="AAS91" s="3"/>
      <c r="AAT91" s="3"/>
      <c r="AAU91" s="3"/>
      <c r="AAV91" s="3"/>
      <c r="AAW91" s="3"/>
      <c r="AAX91" s="3"/>
      <c r="AAY91" s="3"/>
      <c r="AAZ91" s="3"/>
      <c r="ABA91" s="3"/>
      <c r="ABB91" s="3"/>
      <c r="ABC91" s="3"/>
      <c r="ABD91" s="3"/>
      <c r="ABE91" s="3"/>
      <c r="ABF91" s="3"/>
      <c r="ABG91" s="3"/>
      <c r="ABH91" s="3"/>
      <c r="ABI91" s="3"/>
      <c r="ABJ91" s="3"/>
      <c r="ABK91" s="3"/>
      <c r="ABL91" s="3"/>
      <c r="ABM91" s="3"/>
      <c r="ABN91" s="3"/>
      <c r="ABO91" s="3"/>
      <c r="ABP91" s="3"/>
      <c r="ABQ91" s="3"/>
      <c r="ABR91" s="3"/>
      <c r="ABS91" s="3"/>
      <c r="ABT91" s="3"/>
      <c r="ABU91" s="3"/>
      <c r="ABV91" s="3"/>
      <c r="ABW91" s="3"/>
      <c r="ABX91" s="3"/>
      <c r="ABY91" s="3"/>
      <c r="ABZ91" s="3"/>
      <c r="ACA91" s="3"/>
      <c r="ACB91" s="3"/>
      <c r="ACC91" s="3"/>
      <c r="ACD91" s="3"/>
      <c r="ACE91" s="3"/>
      <c r="ACF91" s="3"/>
      <c r="ACG91" s="3"/>
      <c r="ACH91" s="3"/>
      <c r="ACI91" s="3"/>
      <c r="ACJ91" s="3"/>
      <c r="ACK91" s="3"/>
      <c r="ACL91" s="3"/>
      <c r="ACM91" s="3"/>
      <c r="ACN91" s="3"/>
      <c r="ACO91" s="3"/>
      <c r="ACP91" s="3"/>
      <c r="ACQ91" s="3"/>
      <c r="ACR91" s="3"/>
      <c r="ACS91" s="3"/>
      <c r="ACT91" s="3"/>
      <c r="ACU91" s="3"/>
      <c r="ACV91" s="3"/>
      <c r="ACW91" s="3"/>
      <c r="ACX91" s="3"/>
      <c r="ACY91" s="3"/>
      <c r="ACZ91" s="3"/>
      <c r="ADA91" s="3"/>
      <c r="ADB91" s="3"/>
      <c r="ADC91" s="3"/>
      <c r="ADD91" s="3"/>
      <c r="ADE91" s="3"/>
      <c r="ADF91" s="3"/>
      <c r="ADG91" s="3"/>
      <c r="ADH91" s="3"/>
      <c r="ADI91" s="3"/>
      <c r="ADJ91" s="3"/>
      <c r="ADK91" s="3"/>
      <c r="ADL91" s="3"/>
      <c r="ADM91" s="3"/>
      <c r="ADN91" s="3"/>
      <c r="ADO91" s="3"/>
      <c r="ADP91" s="3"/>
      <c r="ADQ91" s="3"/>
      <c r="ADR91" s="3"/>
      <c r="ADS91" s="3"/>
      <c r="ADT91" s="3"/>
      <c r="ADU91" s="3"/>
      <c r="ADV91" s="3"/>
      <c r="ADW91" s="3"/>
      <c r="ADX91" s="3"/>
      <c r="ADY91" s="3"/>
      <c r="ADZ91" s="3"/>
      <c r="AEA91" s="3"/>
      <c r="AEB91" s="3"/>
      <c r="AEC91" s="3"/>
      <c r="AED91" s="3"/>
      <c r="AEE91" s="3"/>
      <c r="AEF91" s="3"/>
      <c r="AEG91" s="3"/>
      <c r="AEH91" s="3"/>
      <c r="AEI91" s="3"/>
      <c r="AEJ91" s="3"/>
      <c r="AEK91" s="3"/>
      <c r="AEL91" s="3"/>
      <c r="AEM91" s="3"/>
      <c r="AEN91" s="3"/>
      <c r="AEO91" s="3"/>
      <c r="AEP91" s="3"/>
      <c r="AEQ91" s="3"/>
      <c r="AER91" s="3"/>
      <c r="AES91" s="3"/>
      <c r="AET91" s="3"/>
      <c r="AEU91" s="3"/>
      <c r="AEV91" s="3"/>
      <c r="AEW91" s="3"/>
      <c r="AEX91" s="3"/>
      <c r="AEY91" s="3"/>
      <c r="AEZ91" s="3"/>
      <c r="AFA91" s="3"/>
      <c r="AFB91" s="3"/>
      <c r="AFC91" s="3"/>
      <c r="AFD91" s="3"/>
      <c r="AFE91" s="3"/>
      <c r="AFF91" s="3"/>
      <c r="AFG91" s="3"/>
      <c r="AFH91" s="3"/>
      <c r="AFI91" s="3"/>
      <c r="AFJ91" s="3"/>
      <c r="AFK91" s="3"/>
      <c r="AFL91" s="3"/>
      <c r="AFM91" s="3"/>
      <c r="AFN91" s="3"/>
      <c r="AFO91" s="3"/>
      <c r="AFP91" s="3"/>
      <c r="AFQ91" s="3"/>
      <c r="AFR91" s="3"/>
      <c r="AFS91" s="3"/>
      <c r="AFT91" s="3"/>
      <c r="AFU91" s="3"/>
      <c r="AFV91" s="3"/>
      <c r="AFW91" s="3"/>
      <c r="AFX91" s="3"/>
      <c r="AFY91" s="3"/>
      <c r="AFZ91" s="3"/>
      <c r="AGA91" s="3"/>
      <c r="AGB91" s="3"/>
      <c r="AGC91" s="3"/>
      <c r="AGD91" s="3"/>
      <c r="AGE91" s="3"/>
      <c r="AGF91" s="3"/>
      <c r="AGG91" s="3"/>
      <c r="AGH91" s="3"/>
      <c r="AGI91" s="3"/>
      <c r="AGJ91" s="3"/>
      <c r="AGK91" s="3"/>
      <c r="AGL91" s="3"/>
      <c r="AGM91" s="3"/>
      <c r="AGN91" s="3"/>
      <c r="AGO91" s="3"/>
      <c r="AGP91" s="3"/>
      <c r="AGQ91" s="3"/>
      <c r="AGR91" s="3"/>
      <c r="AGS91" s="3"/>
      <c r="AGT91" s="3"/>
      <c r="AGU91" s="3"/>
      <c r="AGV91" s="3"/>
      <c r="AGW91" s="3"/>
      <c r="AGX91" s="3"/>
      <c r="AGY91" s="3"/>
      <c r="AGZ91" s="3"/>
      <c r="AHA91" s="3"/>
      <c r="AHB91" s="3"/>
      <c r="AHC91" s="3"/>
      <c r="AHD91" s="3"/>
      <c r="AHE91" s="3"/>
      <c r="AHF91" s="3"/>
      <c r="AHG91" s="3"/>
      <c r="AHH91" s="3"/>
      <c r="AHI91" s="3"/>
      <c r="AHJ91" s="3"/>
      <c r="AHK91" s="3"/>
      <c r="AHL91" s="3"/>
      <c r="AHM91" s="3"/>
      <c r="AHN91" s="3"/>
      <c r="AHO91" s="3"/>
      <c r="AHP91" s="3"/>
      <c r="AHQ91" s="3"/>
      <c r="AHR91" s="3"/>
      <c r="AHS91" s="3"/>
      <c r="AHT91" s="3"/>
      <c r="AHU91" s="3"/>
      <c r="AHV91" s="3"/>
      <c r="AHW91" s="3"/>
      <c r="AHX91" s="3"/>
      <c r="AHY91" s="3"/>
      <c r="AHZ91" s="3"/>
      <c r="AIA91" s="3"/>
      <c r="AIB91" s="3"/>
      <c r="AIC91" s="3"/>
      <c r="AID91" s="3"/>
      <c r="AIE91" s="3"/>
      <c r="AIF91" s="3"/>
      <c r="AIG91" s="3"/>
      <c r="AIH91" s="3"/>
      <c r="AII91" s="3"/>
      <c r="AIJ91" s="3"/>
      <c r="AIK91" s="3"/>
      <c r="AIL91" s="3"/>
      <c r="AIM91" s="3"/>
      <c r="AIN91" s="3"/>
      <c r="AIO91" s="3"/>
      <c r="AIP91" s="3"/>
      <c r="AIQ91" s="3"/>
      <c r="AIR91" s="3"/>
      <c r="AIS91" s="3"/>
      <c r="AIT91" s="3"/>
      <c r="AIU91" s="3"/>
      <c r="AIV91" s="3"/>
      <c r="AIW91" s="3"/>
      <c r="AIX91" s="3"/>
      <c r="AIY91" s="3"/>
      <c r="AIZ91" s="3"/>
      <c r="AJA91" s="3"/>
      <c r="AJB91" s="3"/>
      <c r="AJC91" s="3"/>
      <c r="AJD91" s="3"/>
      <c r="AJE91" s="3"/>
      <c r="AJF91" s="3"/>
      <c r="AJG91" s="3"/>
      <c r="AJH91" s="3"/>
      <c r="AJI91" s="3"/>
      <c r="AJJ91" s="3"/>
      <c r="AJK91" s="3"/>
      <c r="AJL91" s="3"/>
      <c r="AJM91" s="3"/>
      <c r="AJN91" s="3"/>
      <c r="AJO91" s="3"/>
    </row>
    <row r="92" spans="1:1351" x14ac:dyDescent="0.25">
      <c r="A92" s="26" t="s">
        <v>120</v>
      </c>
      <c r="B92" s="27"/>
      <c r="C92" s="10">
        <f>AVERAGE(logistics!B13:K13)</f>
        <v>1.064082E-4</v>
      </c>
      <c r="D92" s="11">
        <f>AVERAGE(logistics!B42:K42)</f>
        <v>1.3901699999999999E-5</v>
      </c>
      <c r="E92" s="15">
        <f t="shared" si="2"/>
        <v>1.5378036221458087</v>
      </c>
      <c r="F92" s="15">
        <f t="shared" si="3"/>
        <v>6.6543300459656018</v>
      </c>
      <c r="G92" s="10" t="s">
        <v>88</v>
      </c>
      <c r="H92" s="18">
        <v>1.7207553347692401</v>
      </c>
      <c r="I92" s="3"/>
      <c r="J92" s="10" t="s">
        <v>88</v>
      </c>
      <c r="K92" s="18">
        <v>12.324356014803417</v>
      </c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  <c r="DK92" s="3"/>
      <c r="DL92" s="3"/>
      <c r="DM92" s="3"/>
      <c r="DN92" s="3"/>
      <c r="DO92" s="3"/>
      <c r="DP92" s="3"/>
      <c r="DQ92" s="3"/>
      <c r="DR92" s="3"/>
      <c r="DS92" s="3"/>
      <c r="DT92" s="3"/>
      <c r="DU92" s="3"/>
      <c r="DV92" s="3"/>
      <c r="DW92" s="3"/>
      <c r="DX92" s="3"/>
      <c r="DY92" s="3"/>
      <c r="DZ92" s="3"/>
      <c r="EA92" s="3"/>
      <c r="EB92" s="3"/>
      <c r="EC92" s="3"/>
      <c r="ED92" s="3"/>
      <c r="EE92" s="3"/>
      <c r="EF92" s="3"/>
      <c r="EG92" s="3"/>
      <c r="EH92" s="3"/>
      <c r="EI92" s="3"/>
      <c r="EJ92" s="3"/>
      <c r="EK92" s="3"/>
      <c r="EL92" s="3"/>
      <c r="EM92" s="3"/>
      <c r="EN92" s="3"/>
      <c r="EO92" s="3"/>
      <c r="EP92" s="3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  <c r="FH92" s="3"/>
      <c r="FI92" s="3"/>
      <c r="FJ92" s="3"/>
      <c r="FK92" s="3"/>
      <c r="FL92" s="3"/>
      <c r="FM92" s="3"/>
      <c r="FN92" s="3"/>
      <c r="FO92" s="3"/>
      <c r="FP92" s="3"/>
      <c r="FQ92" s="3"/>
      <c r="FR92" s="3"/>
      <c r="FS92" s="3"/>
      <c r="FT92" s="3"/>
      <c r="FU92" s="3"/>
      <c r="FV92" s="3"/>
      <c r="FW92" s="3"/>
      <c r="FX92" s="3"/>
      <c r="FY92" s="3"/>
      <c r="FZ92" s="3"/>
      <c r="GA92" s="3"/>
      <c r="GB92" s="3"/>
      <c r="GC92" s="3"/>
      <c r="GD92" s="3"/>
      <c r="GE92" s="3"/>
      <c r="GF92" s="3"/>
      <c r="GG92" s="3"/>
      <c r="GH92" s="3"/>
      <c r="GI92" s="3"/>
      <c r="GJ92" s="3"/>
      <c r="GK92" s="3"/>
      <c r="GL92" s="3"/>
      <c r="GM92" s="3"/>
      <c r="GN92" s="3"/>
      <c r="GO92" s="3"/>
      <c r="GP92" s="3"/>
      <c r="GQ92" s="3"/>
      <c r="GR92" s="3"/>
      <c r="GS92" s="3"/>
      <c r="GT92" s="3"/>
      <c r="GU92" s="3"/>
      <c r="GV92" s="3"/>
      <c r="GW92" s="3"/>
      <c r="GX92" s="3"/>
      <c r="GY92" s="3"/>
      <c r="GZ92" s="3"/>
      <c r="HA92" s="3"/>
      <c r="HB92" s="3"/>
      <c r="HC92" s="3"/>
      <c r="HD92" s="3"/>
      <c r="HE92" s="3"/>
      <c r="HF92" s="3"/>
      <c r="HG92" s="3"/>
      <c r="HH92" s="3"/>
      <c r="HI92" s="3"/>
      <c r="HJ92" s="3"/>
      <c r="HK92" s="3"/>
      <c r="HL92" s="3"/>
      <c r="HM92" s="3"/>
      <c r="HN92" s="3"/>
      <c r="HO92" s="3"/>
      <c r="HP92" s="3"/>
      <c r="HQ92" s="3"/>
      <c r="HR92" s="3"/>
      <c r="HS92" s="3"/>
      <c r="HT92" s="3"/>
      <c r="HU92" s="3"/>
      <c r="HV92" s="3"/>
      <c r="HW92" s="3"/>
      <c r="HX92" s="3"/>
      <c r="HY92" s="3"/>
      <c r="HZ92" s="3"/>
      <c r="IA92" s="3"/>
      <c r="IB92" s="3"/>
      <c r="IC92" s="3"/>
      <c r="ID92" s="3"/>
      <c r="IE92" s="3"/>
      <c r="IF92" s="3"/>
      <c r="IG92" s="3"/>
      <c r="IH92" s="3"/>
      <c r="II92" s="3"/>
      <c r="IJ92" s="3"/>
      <c r="IK92" s="3"/>
      <c r="IL92" s="3"/>
      <c r="IM92" s="3"/>
      <c r="IN92" s="3"/>
      <c r="IO92" s="3"/>
      <c r="IP92" s="3"/>
      <c r="IQ92" s="3"/>
      <c r="IR92" s="3"/>
      <c r="IS92" s="3"/>
      <c r="IT92" s="3"/>
      <c r="IU92" s="3"/>
      <c r="IV92" s="3"/>
      <c r="IW92" s="3"/>
      <c r="IX92" s="3"/>
      <c r="IY92" s="3"/>
      <c r="IZ92" s="3"/>
      <c r="JA92" s="3"/>
      <c r="JB92" s="3"/>
      <c r="JC92" s="3"/>
      <c r="JD92" s="3"/>
      <c r="JE92" s="3"/>
      <c r="JF92" s="3"/>
      <c r="JG92" s="3"/>
      <c r="JH92" s="3"/>
      <c r="JI92" s="3"/>
      <c r="JJ92" s="3"/>
      <c r="JK92" s="3"/>
      <c r="JL92" s="3"/>
      <c r="JM92" s="3"/>
      <c r="JN92" s="3"/>
      <c r="JO92" s="3"/>
      <c r="JP92" s="3"/>
      <c r="JQ92" s="3"/>
      <c r="JR92" s="3"/>
      <c r="JS92" s="3"/>
      <c r="JT92" s="3"/>
      <c r="JU92" s="3"/>
      <c r="JV92" s="3"/>
      <c r="JW92" s="3"/>
      <c r="JX92" s="3"/>
      <c r="JY92" s="3"/>
      <c r="JZ92" s="3"/>
      <c r="KA92" s="3"/>
      <c r="KB92" s="3"/>
      <c r="KC92" s="3"/>
      <c r="KD92" s="3"/>
      <c r="KE92" s="3"/>
      <c r="KF92" s="3"/>
      <c r="KG92" s="3"/>
      <c r="KH92" s="3"/>
      <c r="KI92" s="3"/>
      <c r="KJ92" s="3"/>
      <c r="KK92" s="3"/>
      <c r="KL92" s="3"/>
      <c r="KM92" s="3"/>
      <c r="KN92" s="3"/>
      <c r="KO92" s="3"/>
      <c r="KP92" s="3"/>
      <c r="KQ92" s="3"/>
      <c r="KR92" s="3"/>
      <c r="KS92" s="3"/>
      <c r="KT92" s="3"/>
      <c r="KU92" s="3"/>
      <c r="KV92" s="3"/>
      <c r="KW92" s="3"/>
      <c r="KX92" s="3"/>
      <c r="KY92" s="3"/>
      <c r="KZ92" s="3"/>
      <c r="LA92" s="3"/>
      <c r="LB92" s="3"/>
      <c r="LC92" s="3"/>
      <c r="LD92" s="3"/>
      <c r="LE92" s="3"/>
      <c r="LF92" s="3"/>
      <c r="LG92" s="3"/>
      <c r="LH92" s="3"/>
      <c r="LI92" s="3"/>
      <c r="LJ92" s="3"/>
      <c r="LK92" s="3"/>
      <c r="LL92" s="3"/>
      <c r="LM92" s="3"/>
      <c r="LN92" s="3"/>
      <c r="LO92" s="3"/>
      <c r="LP92" s="3"/>
      <c r="LQ92" s="3"/>
      <c r="LR92" s="3"/>
      <c r="LS92" s="3"/>
      <c r="LT92" s="3"/>
      <c r="LU92" s="3"/>
      <c r="LV92" s="3"/>
      <c r="LW92" s="3"/>
      <c r="LX92" s="3"/>
      <c r="LY92" s="3"/>
      <c r="LZ92" s="3"/>
      <c r="MA92" s="3"/>
      <c r="MB92" s="3"/>
      <c r="MC92" s="3"/>
      <c r="MD92" s="3"/>
      <c r="ME92" s="3"/>
      <c r="MF92" s="3"/>
      <c r="MG92" s="3"/>
      <c r="MH92" s="3"/>
      <c r="MI92" s="3"/>
      <c r="MJ92" s="3"/>
      <c r="MK92" s="3"/>
      <c r="ML92" s="3"/>
      <c r="MM92" s="3"/>
      <c r="MN92" s="3"/>
      <c r="MO92" s="3"/>
      <c r="MP92" s="3"/>
      <c r="MQ92" s="3"/>
      <c r="MR92" s="3"/>
      <c r="MS92" s="3"/>
      <c r="MT92" s="3"/>
      <c r="MU92" s="3"/>
      <c r="MV92" s="3"/>
      <c r="MW92" s="3"/>
      <c r="MX92" s="3"/>
      <c r="MY92" s="3"/>
      <c r="MZ92" s="3"/>
      <c r="NA92" s="3"/>
      <c r="NB92" s="3"/>
      <c r="NC92" s="3"/>
      <c r="ND92" s="3"/>
      <c r="NE92" s="3"/>
      <c r="NF92" s="3"/>
      <c r="NG92" s="3"/>
      <c r="NH92" s="3"/>
      <c r="NI92" s="3"/>
      <c r="NJ92" s="3"/>
      <c r="NK92" s="3"/>
      <c r="NL92" s="3"/>
      <c r="NM92" s="3"/>
      <c r="NN92" s="3"/>
      <c r="NO92" s="3"/>
      <c r="NP92" s="3"/>
      <c r="NQ92" s="3"/>
      <c r="NR92" s="3"/>
      <c r="NS92" s="3"/>
      <c r="NT92" s="3"/>
      <c r="NU92" s="3"/>
      <c r="NV92" s="3"/>
      <c r="NW92" s="3"/>
      <c r="NX92" s="3"/>
      <c r="NY92" s="3"/>
      <c r="NZ92" s="3"/>
      <c r="OA92" s="3"/>
      <c r="OB92" s="3"/>
      <c r="OC92" s="3"/>
      <c r="OD92" s="3"/>
      <c r="OE92" s="3"/>
      <c r="OF92" s="3"/>
      <c r="OG92" s="3"/>
      <c r="OH92" s="3"/>
      <c r="OI92" s="3"/>
      <c r="OJ92" s="3"/>
      <c r="OK92" s="3"/>
      <c r="OL92" s="3"/>
      <c r="OM92" s="3"/>
      <c r="ON92" s="3"/>
      <c r="OO92" s="3"/>
      <c r="OP92" s="3"/>
      <c r="OQ92" s="3"/>
      <c r="OR92" s="3"/>
      <c r="OS92" s="3"/>
      <c r="OT92" s="3"/>
      <c r="OU92" s="3"/>
      <c r="OV92" s="3"/>
      <c r="OW92" s="3"/>
      <c r="OX92" s="3"/>
      <c r="OY92" s="3"/>
      <c r="OZ92" s="3"/>
      <c r="PA92" s="3"/>
      <c r="PB92" s="3"/>
      <c r="PC92" s="3"/>
      <c r="PD92" s="3"/>
      <c r="PE92" s="3"/>
      <c r="PF92" s="3"/>
      <c r="PG92" s="3"/>
      <c r="PH92" s="3"/>
      <c r="PI92" s="3"/>
      <c r="PJ92" s="3"/>
      <c r="PK92" s="3"/>
      <c r="PL92" s="3"/>
      <c r="PM92" s="3"/>
      <c r="PN92" s="3"/>
      <c r="PO92" s="3"/>
      <c r="PP92" s="3"/>
      <c r="PQ92" s="3"/>
      <c r="PR92" s="3"/>
      <c r="PS92" s="3"/>
      <c r="PT92" s="3"/>
      <c r="PU92" s="3"/>
      <c r="PV92" s="3"/>
      <c r="PW92" s="3"/>
      <c r="PX92" s="3"/>
      <c r="PY92" s="3"/>
      <c r="PZ92" s="3"/>
      <c r="QA92" s="3"/>
      <c r="QB92" s="3"/>
      <c r="QC92" s="3"/>
      <c r="QD92" s="3"/>
      <c r="QE92" s="3"/>
      <c r="QF92" s="3"/>
      <c r="QG92" s="3"/>
      <c r="QH92" s="3"/>
      <c r="QI92" s="3"/>
      <c r="QJ92" s="3"/>
      <c r="QK92" s="3"/>
      <c r="QL92" s="3"/>
      <c r="QM92" s="3"/>
      <c r="QN92" s="3"/>
      <c r="QO92" s="3"/>
      <c r="QP92" s="3"/>
      <c r="QQ92" s="3"/>
      <c r="QR92" s="3"/>
      <c r="QS92" s="3"/>
      <c r="QT92" s="3"/>
      <c r="QU92" s="3"/>
      <c r="QV92" s="3"/>
      <c r="QW92" s="3"/>
      <c r="QX92" s="3"/>
      <c r="QY92" s="3"/>
      <c r="QZ92" s="3"/>
      <c r="RA92" s="3"/>
      <c r="RB92" s="3"/>
      <c r="RC92" s="3"/>
      <c r="RD92" s="3"/>
      <c r="RE92" s="3"/>
      <c r="RF92" s="3"/>
      <c r="RG92" s="3"/>
      <c r="RH92" s="3"/>
      <c r="RI92" s="3"/>
      <c r="RJ92" s="3"/>
      <c r="RK92" s="3"/>
      <c r="RL92" s="3"/>
      <c r="RM92" s="3"/>
      <c r="RN92" s="3"/>
      <c r="RO92" s="3"/>
      <c r="RP92" s="3"/>
      <c r="RQ92" s="3"/>
      <c r="RR92" s="3"/>
      <c r="RS92" s="3"/>
      <c r="RT92" s="3"/>
      <c r="RU92" s="3"/>
      <c r="RV92" s="3"/>
      <c r="RW92" s="3"/>
      <c r="RX92" s="3"/>
      <c r="RY92" s="3"/>
      <c r="RZ92" s="3"/>
      <c r="SA92" s="3"/>
      <c r="SB92" s="3"/>
      <c r="SC92" s="3"/>
      <c r="SD92" s="3"/>
      <c r="SE92" s="3"/>
      <c r="SF92" s="3"/>
      <c r="SG92" s="3"/>
      <c r="SH92" s="3"/>
      <c r="SI92" s="3"/>
      <c r="SJ92" s="3"/>
      <c r="SK92" s="3"/>
      <c r="SL92" s="3"/>
      <c r="SM92" s="3"/>
      <c r="SN92" s="3"/>
      <c r="SO92" s="3"/>
      <c r="SP92" s="3"/>
      <c r="SQ92" s="3"/>
      <c r="SR92" s="3"/>
      <c r="SS92" s="3"/>
      <c r="ST92" s="3"/>
      <c r="SU92" s="3"/>
      <c r="SV92" s="3"/>
      <c r="SW92" s="3"/>
      <c r="SX92" s="3"/>
      <c r="SY92" s="3"/>
      <c r="SZ92" s="3"/>
      <c r="TA92" s="3"/>
      <c r="TB92" s="3"/>
      <c r="TC92" s="3"/>
      <c r="TD92" s="3"/>
      <c r="TE92" s="3"/>
      <c r="TF92" s="3"/>
      <c r="TG92" s="3"/>
      <c r="TH92" s="3"/>
      <c r="TI92" s="3"/>
      <c r="TJ92" s="3"/>
      <c r="TK92" s="3"/>
      <c r="TL92" s="3"/>
      <c r="TM92" s="3"/>
      <c r="TN92" s="3"/>
      <c r="TO92" s="3"/>
      <c r="TP92" s="3"/>
      <c r="TQ92" s="3"/>
      <c r="TR92" s="3"/>
      <c r="TS92" s="3"/>
      <c r="TT92" s="3"/>
      <c r="TU92" s="3"/>
      <c r="TV92" s="3"/>
      <c r="TW92" s="3"/>
      <c r="TX92" s="3"/>
      <c r="TY92" s="3"/>
      <c r="TZ92" s="3"/>
      <c r="UA92" s="3"/>
      <c r="UB92" s="3"/>
      <c r="UC92" s="3"/>
      <c r="UD92" s="3"/>
      <c r="UE92" s="3"/>
      <c r="UF92" s="3"/>
      <c r="UG92" s="3"/>
      <c r="UH92" s="3"/>
      <c r="UI92" s="3"/>
      <c r="UJ92" s="3"/>
      <c r="UK92" s="3"/>
      <c r="UL92" s="3"/>
      <c r="UM92" s="3"/>
      <c r="UN92" s="3"/>
      <c r="UO92" s="3"/>
      <c r="UP92" s="3"/>
      <c r="UQ92" s="3"/>
      <c r="UR92" s="3"/>
      <c r="US92" s="3"/>
      <c r="UT92" s="3"/>
      <c r="UU92" s="3"/>
      <c r="UV92" s="3"/>
      <c r="UW92" s="3"/>
      <c r="UX92" s="3"/>
      <c r="UY92" s="3"/>
      <c r="UZ92" s="3"/>
      <c r="VA92" s="3"/>
      <c r="VB92" s="3"/>
      <c r="VC92" s="3"/>
      <c r="VD92" s="3"/>
      <c r="VE92" s="3"/>
      <c r="VF92" s="3"/>
      <c r="VG92" s="3"/>
      <c r="VH92" s="3"/>
      <c r="VI92" s="3"/>
      <c r="VJ92" s="3"/>
      <c r="VK92" s="3"/>
      <c r="VL92" s="3"/>
      <c r="VM92" s="3"/>
      <c r="VN92" s="3"/>
      <c r="VO92" s="3"/>
      <c r="VP92" s="3"/>
      <c r="VQ92" s="3"/>
      <c r="VR92" s="3"/>
      <c r="VS92" s="3"/>
      <c r="VT92" s="3"/>
      <c r="VU92" s="3"/>
      <c r="VV92" s="3"/>
      <c r="VW92" s="3"/>
      <c r="VX92" s="3"/>
      <c r="VY92" s="3"/>
      <c r="VZ92" s="3"/>
      <c r="WA92" s="3"/>
      <c r="WB92" s="3"/>
      <c r="WC92" s="3"/>
      <c r="WD92" s="3"/>
      <c r="WE92" s="3"/>
      <c r="WF92" s="3"/>
      <c r="WG92" s="3"/>
      <c r="WH92" s="3"/>
      <c r="WI92" s="3"/>
      <c r="WJ92" s="3"/>
      <c r="WK92" s="3"/>
      <c r="WL92" s="3"/>
      <c r="WM92" s="3"/>
      <c r="WN92" s="3"/>
      <c r="WO92" s="3"/>
      <c r="WP92" s="3"/>
      <c r="WQ92" s="3"/>
      <c r="WR92" s="3"/>
      <c r="WS92" s="3"/>
      <c r="WT92" s="3"/>
      <c r="WU92" s="3"/>
      <c r="WV92" s="3"/>
      <c r="WW92" s="3"/>
      <c r="WX92" s="3"/>
      <c r="WY92" s="3"/>
      <c r="WZ92" s="3"/>
      <c r="XA92" s="3"/>
      <c r="XB92" s="3"/>
      <c r="XC92" s="3"/>
      <c r="XD92" s="3"/>
      <c r="XE92" s="3"/>
      <c r="XF92" s="3"/>
      <c r="XG92" s="3"/>
      <c r="XH92" s="3"/>
      <c r="XI92" s="3"/>
      <c r="XJ92" s="3"/>
      <c r="XK92" s="3"/>
      <c r="XL92" s="3"/>
      <c r="XM92" s="3"/>
      <c r="XN92" s="3"/>
      <c r="XO92" s="3"/>
      <c r="XP92" s="3"/>
      <c r="XQ92" s="3"/>
      <c r="XR92" s="3"/>
      <c r="XS92" s="3"/>
      <c r="XT92" s="3"/>
      <c r="XU92" s="3"/>
      <c r="XV92" s="3"/>
      <c r="XW92" s="3"/>
      <c r="XX92" s="3"/>
      <c r="XY92" s="3"/>
      <c r="XZ92" s="3"/>
      <c r="YA92" s="3"/>
      <c r="YB92" s="3"/>
      <c r="YC92" s="3"/>
      <c r="YD92" s="3"/>
      <c r="YE92" s="3"/>
      <c r="YF92" s="3"/>
      <c r="YG92" s="3"/>
      <c r="YH92" s="3"/>
      <c r="YI92" s="3"/>
      <c r="YJ92" s="3"/>
      <c r="YK92" s="3"/>
      <c r="YL92" s="3"/>
      <c r="YM92" s="3"/>
      <c r="YN92" s="3"/>
      <c r="YO92" s="3"/>
      <c r="YP92" s="3"/>
      <c r="YQ92" s="3"/>
      <c r="YR92" s="3"/>
      <c r="YS92" s="3"/>
      <c r="YT92" s="3"/>
      <c r="YU92" s="3"/>
      <c r="YV92" s="3"/>
      <c r="YW92" s="3"/>
      <c r="YX92" s="3"/>
      <c r="YY92" s="3"/>
      <c r="YZ92" s="3"/>
      <c r="ZA92" s="3"/>
      <c r="ZB92" s="3"/>
      <c r="ZC92" s="3"/>
      <c r="ZD92" s="3"/>
      <c r="ZE92" s="3"/>
      <c r="ZF92" s="3"/>
      <c r="ZG92" s="3"/>
      <c r="ZH92" s="3"/>
      <c r="ZI92" s="3"/>
      <c r="ZJ92" s="3"/>
      <c r="ZK92" s="3"/>
      <c r="ZL92" s="3"/>
      <c r="ZM92" s="3"/>
      <c r="ZN92" s="3"/>
      <c r="ZO92" s="3"/>
      <c r="ZP92" s="3"/>
      <c r="ZQ92" s="3"/>
      <c r="ZR92" s="3"/>
      <c r="ZS92" s="3"/>
      <c r="ZT92" s="3"/>
      <c r="ZU92" s="3"/>
      <c r="ZV92" s="3"/>
      <c r="ZW92" s="3"/>
      <c r="ZX92" s="3"/>
      <c r="ZY92" s="3"/>
      <c r="ZZ92" s="3"/>
      <c r="AAA92" s="3"/>
      <c r="AAB92" s="3"/>
      <c r="AAC92" s="3"/>
      <c r="AAD92" s="3"/>
      <c r="AAE92" s="3"/>
      <c r="AAF92" s="3"/>
      <c r="AAG92" s="3"/>
      <c r="AAH92" s="3"/>
      <c r="AAI92" s="3"/>
      <c r="AAJ92" s="3"/>
      <c r="AAK92" s="3"/>
      <c r="AAL92" s="3"/>
      <c r="AAM92" s="3"/>
      <c r="AAN92" s="3"/>
      <c r="AAO92" s="3"/>
      <c r="AAP92" s="3"/>
      <c r="AAQ92" s="3"/>
      <c r="AAR92" s="3"/>
      <c r="AAS92" s="3"/>
      <c r="AAT92" s="3"/>
      <c r="AAU92" s="3"/>
      <c r="AAV92" s="3"/>
      <c r="AAW92" s="3"/>
      <c r="AAX92" s="3"/>
      <c r="AAY92" s="3"/>
      <c r="AAZ92" s="3"/>
      <c r="ABA92" s="3"/>
      <c r="ABB92" s="3"/>
      <c r="ABC92" s="3"/>
      <c r="ABD92" s="3"/>
      <c r="ABE92" s="3"/>
      <c r="ABF92" s="3"/>
      <c r="ABG92" s="3"/>
      <c r="ABH92" s="3"/>
      <c r="ABI92" s="3"/>
      <c r="ABJ92" s="3"/>
      <c r="ABK92" s="3"/>
      <c r="ABL92" s="3"/>
      <c r="ABM92" s="3"/>
      <c r="ABN92" s="3"/>
      <c r="ABO92" s="3"/>
      <c r="ABP92" s="3"/>
      <c r="ABQ92" s="3"/>
      <c r="ABR92" s="3"/>
      <c r="ABS92" s="3"/>
      <c r="ABT92" s="3"/>
      <c r="ABU92" s="3"/>
      <c r="ABV92" s="3"/>
      <c r="ABW92" s="3"/>
      <c r="ABX92" s="3"/>
      <c r="ABY92" s="3"/>
      <c r="ABZ92" s="3"/>
      <c r="ACA92" s="3"/>
      <c r="ACB92" s="3"/>
      <c r="ACC92" s="3"/>
      <c r="ACD92" s="3"/>
      <c r="ACE92" s="3"/>
      <c r="ACF92" s="3"/>
      <c r="ACG92" s="3"/>
      <c r="ACH92" s="3"/>
      <c r="ACI92" s="3"/>
      <c r="ACJ92" s="3"/>
      <c r="ACK92" s="3"/>
      <c r="ACL92" s="3"/>
      <c r="ACM92" s="3"/>
      <c r="ACN92" s="3"/>
      <c r="ACO92" s="3"/>
      <c r="ACP92" s="3"/>
      <c r="ACQ92" s="3"/>
      <c r="ACR92" s="3"/>
      <c r="ACS92" s="3"/>
      <c r="ACT92" s="3"/>
      <c r="ACU92" s="3"/>
      <c r="ACV92" s="3"/>
      <c r="ACW92" s="3"/>
      <c r="ACX92" s="3"/>
      <c r="ACY92" s="3"/>
      <c r="ACZ92" s="3"/>
      <c r="ADA92" s="3"/>
      <c r="ADB92" s="3"/>
      <c r="ADC92" s="3"/>
      <c r="ADD92" s="3"/>
      <c r="ADE92" s="3"/>
      <c r="ADF92" s="3"/>
      <c r="ADG92" s="3"/>
      <c r="ADH92" s="3"/>
      <c r="ADI92" s="3"/>
      <c r="ADJ92" s="3"/>
      <c r="ADK92" s="3"/>
      <c r="ADL92" s="3"/>
      <c r="ADM92" s="3"/>
      <c r="ADN92" s="3"/>
      <c r="ADO92" s="3"/>
      <c r="ADP92" s="3"/>
      <c r="ADQ92" s="3"/>
      <c r="ADR92" s="3"/>
      <c r="ADS92" s="3"/>
      <c r="ADT92" s="3"/>
      <c r="ADU92" s="3"/>
      <c r="ADV92" s="3"/>
      <c r="ADW92" s="3"/>
      <c r="ADX92" s="3"/>
      <c r="ADY92" s="3"/>
      <c r="ADZ92" s="3"/>
      <c r="AEA92" s="3"/>
      <c r="AEB92" s="3"/>
      <c r="AEC92" s="3"/>
      <c r="AED92" s="3"/>
      <c r="AEE92" s="3"/>
      <c r="AEF92" s="3"/>
      <c r="AEG92" s="3"/>
      <c r="AEH92" s="3"/>
      <c r="AEI92" s="3"/>
      <c r="AEJ92" s="3"/>
      <c r="AEK92" s="3"/>
      <c r="AEL92" s="3"/>
      <c r="AEM92" s="3"/>
      <c r="AEN92" s="3"/>
      <c r="AEO92" s="3"/>
      <c r="AEP92" s="3"/>
      <c r="AEQ92" s="3"/>
      <c r="AER92" s="3"/>
      <c r="AES92" s="3"/>
      <c r="AET92" s="3"/>
      <c r="AEU92" s="3"/>
      <c r="AEV92" s="3"/>
      <c r="AEW92" s="3"/>
      <c r="AEX92" s="3"/>
      <c r="AEY92" s="3"/>
      <c r="AEZ92" s="3"/>
      <c r="AFA92" s="3"/>
      <c r="AFB92" s="3"/>
      <c r="AFC92" s="3"/>
      <c r="AFD92" s="3"/>
      <c r="AFE92" s="3"/>
      <c r="AFF92" s="3"/>
      <c r="AFG92" s="3"/>
      <c r="AFH92" s="3"/>
      <c r="AFI92" s="3"/>
      <c r="AFJ92" s="3"/>
      <c r="AFK92" s="3"/>
      <c r="AFL92" s="3"/>
      <c r="AFM92" s="3"/>
      <c r="AFN92" s="3"/>
      <c r="AFO92" s="3"/>
      <c r="AFP92" s="3"/>
      <c r="AFQ92" s="3"/>
      <c r="AFR92" s="3"/>
      <c r="AFS92" s="3"/>
      <c r="AFT92" s="3"/>
      <c r="AFU92" s="3"/>
      <c r="AFV92" s="3"/>
      <c r="AFW92" s="3"/>
      <c r="AFX92" s="3"/>
      <c r="AFY92" s="3"/>
      <c r="AFZ92" s="3"/>
      <c r="AGA92" s="3"/>
      <c r="AGB92" s="3"/>
      <c r="AGC92" s="3"/>
      <c r="AGD92" s="3"/>
      <c r="AGE92" s="3"/>
      <c r="AGF92" s="3"/>
      <c r="AGG92" s="3"/>
      <c r="AGH92" s="3"/>
      <c r="AGI92" s="3"/>
      <c r="AGJ92" s="3"/>
      <c r="AGK92" s="3"/>
      <c r="AGL92" s="3"/>
      <c r="AGM92" s="3"/>
      <c r="AGN92" s="3"/>
      <c r="AGO92" s="3"/>
      <c r="AGP92" s="3"/>
      <c r="AGQ92" s="3"/>
      <c r="AGR92" s="3"/>
      <c r="AGS92" s="3"/>
      <c r="AGT92" s="3"/>
      <c r="AGU92" s="3"/>
      <c r="AGV92" s="3"/>
      <c r="AGW92" s="3"/>
      <c r="AGX92" s="3"/>
      <c r="AGY92" s="3"/>
      <c r="AGZ92" s="3"/>
      <c r="AHA92" s="3"/>
      <c r="AHB92" s="3"/>
      <c r="AHC92" s="3"/>
      <c r="AHD92" s="3"/>
      <c r="AHE92" s="3"/>
      <c r="AHF92" s="3"/>
      <c r="AHG92" s="3"/>
      <c r="AHH92" s="3"/>
      <c r="AHI92" s="3"/>
      <c r="AHJ92" s="3"/>
      <c r="AHK92" s="3"/>
      <c r="AHL92" s="3"/>
      <c r="AHM92" s="3"/>
      <c r="AHN92" s="3"/>
      <c r="AHO92" s="3"/>
      <c r="AHP92" s="3"/>
      <c r="AHQ92" s="3"/>
      <c r="AHR92" s="3"/>
      <c r="AHS92" s="3"/>
      <c r="AHT92" s="3"/>
      <c r="AHU92" s="3"/>
      <c r="AHV92" s="3"/>
      <c r="AHW92" s="3"/>
      <c r="AHX92" s="3"/>
      <c r="AHY92" s="3"/>
      <c r="AHZ92" s="3"/>
      <c r="AIA92" s="3"/>
      <c r="AIB92" s="3"/>
      <c r="AIC92" s="3"/>
      <c r="AID92" s="3"/>
      <c r="AIE92" s="3"/>
      <c r="AIF92" s="3"/>
      <c r="AIG92" s="3"/>
      <c r="AIH92" s="3"/>
      <c r="AII92" s="3"/>
      <c r="AIJ92" s="3"/>
      <c r="AIK92" s="3"/>
      <c r="AIL92" s="3"/>
      <c r="AIM92" s="3"/>
      <c r="AIN92" s="3"/>
      <c r="AIO92" s="3"/>
      <c r="AIP92" s="3"/>
      <c r="AIQ92" s="3"/>
      <c r="AIR92" s="3"/>
      <c r="AIS92" s="3"/>
      <c r="AIT92" s="3"/>
      <c r="AIU92" s="3"/>
      <c r="AIV92" s="3"/>
      <c r="AIW92" s="3"/>
      <c r="AIX92" s="3"/>
      <c r="AIY92" s="3"/>
      <c r="AIZ92" s="3"/>
      <c r="AJA92" s="3"/>
      <c r="AJB92" s="3"/>
      <c r="AJC92" s="3"/>
      <c r="AJD92" s="3"/>
      <c r="AJE92" s="3"/>
      <c r="AJF92" s="3"/>
      <c r="AJG92" s="3"/>
      <c r="AJH92" s="3"/>
      <c r="AJI92" s="3"/>
      <c r="AJJ92" s="3"/>
      <c r="AJK92" s="3"/>
      <c r="AJL92" s="3"/>
      <c r="AJM92" s="3"/>
      <c r="AJN92" s="3"/>
      <c r="AJO92" s="3"/>
      <c r="AJP92" s="3"/>
      <c r="AJQ92" s="3"/>
      <c r="AJR92" s="3"/>
      <c r="AJS92" s="3"/>
      <c r="AJT92" s="3"/>
      <c r="AJU92" s="3"/>
      <c r="AJV92" s="3"/>
      <c r="AJW92" s="3"/>
      <c r="AJX92" s="3"/>
      <c r="AJY92" s="3"/>
      <c r="AJZ92" s="3"/>
      <c r="AKA92" s="3"/>
      <c r="AKB92" s="3"/>
      <c r="AKC92" s="3"/>
      <c r="AKD92" s="3"/>
      <c r="AKE92" s="3"/>
      <c r="AKF92" s="3"/>
      <c r="AKG92" s="3"/>
      <c r="AKH92" s="3"/>
      <c r="AKI92" s="3"/>
      <c r="AKJ92" s="3"/>
      <c r="AKK92" s="3"/>
      <c r="AKL92" s="3"/>
      <c r="AKM92" s="3"/>
      <c r="AKN92" s="3"/>
      <c r="AKO92" s="3"/>
      <c r="AKP92" s="3"/>
      <c r="AKQ92" s="3"/>
      <c r="AKR92" s="3"/>
      <c r="AKS92" s="3"/>
      <c r="AKT92" s="3"/>
      <c r="AKU92" s="3"/>
      <c r="AKV92" s="3"/>
      <c r="AKW92" s="3"/>
      <c r="AKX92" s="3"/>
      <c r="AKY92" s="3"/>
      <c r="AKZ92" s="3"/>
      <c r="ALA92" s="3"/>
      <c r="ALB92" s="3"/>
      <c r="ALC92" s="3"/>
      <c r="ALD92" s="3"/>
      <c r="ALE92" s="3"/>
      <c r="ALF92" s="3"/>
      <c r="ALG92" s="3"/>
      <c r="ALH92" s="3"/>
      <c r="ALI92" s="3"/>
      <c r="ALJ92" s="3"/>
      <c r="ALK92" s="3"/>
      <c r="ALL92" s="3"/>
      <c r="ALM92" s="3"/>
      <c r="ALN92" s="3"/>
      <c r="ALO92" s="3"/>
      <c r="ALP92" s="3"/>
      <c r="ALQ92" s="3"/>
      <c r="ALR92" s="3"/>
      <c r="ALS92" s="3"/>
      <c r="ALT92" s="3"/>
      <c r="ALU92" s="3"/>
      <c r="ALV92" s="3"/>
      <c r="ALW92" s="3"/>
      <c r="ALX92" s="3"/>
      <c r="ALY92" s="3"/>
      <c r="ALZ92" s="3"/>
      <c r="AMA92" s="3"/>
      <c r="AMB92" s="3"/>
      <c r="AMC92" s="3"/>
      <c r="AMD92" s="3"/>
      <c r="AME92" s="3"/>
      <c r="AMF92" s="3"/>
      <c r="AMG92" s="3"/>
      <c r="AMH92" s="3"/>
      <c r="AMI92" s="3"/>
      <c r="AMJ92" s="3"/>
      <c r="AMK92" s="3"/>
      <c r="AML92" s="3"/>
      <c r="AMM92" s="3"/>
      <c r="AMN92" s="3"/>
      <c r="AMO92" s="3"/>
      <c r="AMP92" s="3"/>
      <c r="AMQ92" s="3"/>
    </row>
    <row r="93" spans="1:1351" x14ac:dyDescent="0.25">
      <c r="A93" s="26" t="s">
        <v>121</v>
      </c>
      <c r="B93" s="27"/>
      <c r="C93" s="10">
        <f>AVERAGE(logistics!B14:K14)</f>
        <v>2.9506000000000004E-4</v>
      </c>
      <c r="D93" s="11">
        <f>AVERAGE(logistics!B43:K43)</f>
        <v>1.8659899999999997E-5</v>
      </c>
      <c r="E93" s="15">
        <f t="shared" si="2"/>
        <v>1.7620820355992717</v>
      </c>
      <c r="F93" s="15">
        <f t="shared" si="3"/>
        <v>14.812517751970807</v>
      </c>
      <c r="G93" s="6" t="s">
        <v>81</v>
      </c>
      <c r="H93" s="18">
        <v>1.7299273464107408</v>
      </c>
      <c r="I93" s="3"/>
      <c r="J93" s="6" t="s">
        <v>81</v>
      </c>
      <c r="K93" s="18">
        <v>12.81082940771714</v>
      </c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  <c r="DK93" s="3"/>
      <c r="DL93" s="3"/>
      <c r="DM93" s="3"/>
      <c r="DN93" s="3"/>
      <c r="DO93" s="3"/>
      <c r="DP93" s="3"/>
      <c r="DQ93" s="3"/>
      <c r="DR93" s="3"/>
      <c r="DS93" s="3"/>
      <c r="DT93" s="3"/>
      <c r="DU93" s="3"/>
      <c r="DV93" s="3"/>
      <c r="DW93" s="3"/>
      <c r="DX93" s="3"/>
      <c r="DY93" s="3"/>
      <c r="DZ93" s="3"/>
      <c r="EA93" s="3"/>
      <c r="EB93" s="3"/>
      <c r="EC93" s="3"/>
      <c r="ED93" s="3"/>
      <c r="EE93" s="3"/>
      <c r="EF93" s="3"/>
      <c r="EG93" s="3"/>
      <c r="EH93" s="3"/>
      <c r="EI93" s="3"/>
      <c r="EJ93" s="3"/>
      <c r="EK93" s="3"/>
      <c r="EL93" s="3"/>
      <c r="EM93" s="3"/>
      <c r="EN93" s="3"/>
      <c r="EO93" s="3"/>
      <c r="EP93" s="3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  <c r="FH93" s="3"/>
      <c r="FI93" s="3"/>
      <c r="FJ93" s="3"/>
      <c r="FK93" s="3"/>
      <c r="FL93" s="3"/>
      <c r="FM93" s="3"/>
      <c r="FN93" s="3"/>
      <c r="FO93" s="3"/>
      <c r="FP93" s="3"/>
      <c r="FQ93" s="3"/>
      <c r="FR93" s="3"/>
      <c r="FS93" s="3"/>
      <c r="FT93" s="3"/>
      <c r="FU93" s="3"/>
      <c r="FV93" s="3"/>
      <c r="FW93" s="3"/>
      <c r="FX93" s="3"/>
      <c r="FY93" s="3"/>
      <c r="FZ93" s="3"/>
      <c r="GA93" s="3"/>
      <c r="GB93" s="3"/>
      <c r="GC93" s="3"/>
      <c r="GD93" s="3"/>
      <c r="GE93" s="3"/>
      <c r="GF93" s="3"/>
      <c r="GG93" s="3"/>
      <c r="GH93" s="3"/>
      <c r="GI93" s="3"/>
      <c r="GJ93" s="3"/>
      <c r="GK93" s="3"/>
      <c r="GL93" s="3"/>
      <c r="GM93" s="3"/>
      <c r="GN93" s="3"/>
      <c r="GO93" s="3"/>
      <c r="GP93" s="3"/>
      <c r="GQ93" s="3"/>
      <c r="GR93" s="3"/>
      <c r="GS93" s="3"/>
      <c r="GT93" s="3"/>
      <c r="GU93" s="3"/>
      <c r="GV93" s="3"/>
      <c r="GW93" s="3"/>
      <c r="GX93" s="3"/>
      <c r="GY93" s="3"/>
      <c r="GZ93" s="3"/>
      <c r="HA93" s="3"/>
      <c r="HB93" s="3"/>
      <c r="HC93" s="3"/>
      <c r="HD93" s="3"/>
      <c r="HE93" s="3"/>
      <c r="HF93" s="3"/>
      <c r="HG93" s="3"/>
      <c r="HH93" s="3"/>
      <c r="HI93" s="3"/>
      <c r="HJ93" s="3"/>
      <c r="HK93" s="3"/>
      <c r="HL93" s="3"/>
      <c r="HM93" s="3"/>
      <c r="HN93" s="3"/>
      <c r="HO93" s="3"/>
      <c r="HP93" s="3"/>
      <c r="HQ93" s="3"/>
      <c r="HR93" s="3"/>
      <c r="HS93" s="3"/>
      <c r="HT93" s="3"/>
      <c r="HU93" s="3"/>
      <c r="HV93" s="3"/>
      <c r="HW93" s="3"/>
      <c r="HX93" s="3"/>
      <c r="HY93" s="3"/>
      <c r="HZ93" s="3"/>
      <c r="IA93" s="3"/>
      <c r="IB93" s="3"/>
      <c r="IC93" s="3"/>
      <c r="ID93" s="3"/>
      <c r="IE93" s="3"/>
      <c r="IF93" s="3"/>
      <c r="IG93" s="3"/>
      <c r="IH93" s="3"/>
      <c r="II93" s="3"/>
      <c r="IJ93" s="3"/>
      <c r="IK93" s="3"/>
      <c r="IL93" s="3"/>
      <c r="IM93" s="3"/>
      <c r="IN93" s="3"/>
      <c r="IO93" s="3"/>
      <c r="IP93" s="3"/>
      <c r="IQ93" s="3"/>
      <c r="IR93" s="3"/>
      <c r="IS93" s="3"/>
      <c r="IT93" s="3"/>
      <c r="IU93" s="3"/>
      <c r="IV93" s="3"/>
      <c r="IW93" s="3"/>
      <c r="IX93" s="3"/>
      <c r="IY93" s="3"/>
      <c r="IZ93" s="3"/>
      <c r="JA93" s="3"/>
      <c r="JB93" s="3"/>
      <c r="JC93" s="3"/>
      <c r="JD93" s="3"/>
      <c r="JE93" s="3"/>
      <c r="JF93" s="3"/>
      <c r="JG93" s="3"/>
      <c r="JH93" s="3"/>
      <c r="JI93" s="3"/>
      <c r="JJ93" s="3"/>
      <c r="JK93" s="3"/>
      <c r="JL93" s="3"/>
      <c r="JM93" s="3"/>
      <c r="JN93" s="3"/>
      <c r="JO93" s="3"/>
      <c r="JP93" s="3"/>
      <c r="JQ93" s="3"/>
      <c r="JR93" s="3"/>
      <c r="JS93" s="3"/>
      <c r="JT93" s="3"/>
      <c r="JU93" s="3"/>
      <c r="JV93" s="3"/>
      <c r="JW93" s="3"/>
      <c r="JX93" s="3"/>
      <c r="JY93" s="3"/>
      <c r="JZ93" s="3"/>
      <c r="KA93" s="3"/>
      <c r="KB93" s="3"/>
      <c r="KC93" s="3"/>
      <c r="KD93" s="3"/>
      <c r="KE93" s="3"/>
      <c r="KF93" s="3"/>
      <c r="KG93" s="3"/>
      <c r="KH93" s="3"/>
      <c r="KI93" s="3"/>
      <c r="KJ93" s="3"/>
      <c r="KK93" s="3"/>
      <c r="KL93" s="3"/>
      <c r="KM93" s="3"/>
      <c r="KN93" s="3"/>
      <c r="KO93" s="3"/>
      <c r="KP93" s="3"/>
      <c r="KQ93" s="3"/>
      <c r="KR93" s="3"/>
      <c r="KS93" s="3"/>
      <c r="KT93" s="3"/>
      <c r="KU93" s="3"/>
      <c r="KV93" s="3"/>
      <c r="KW93" s="3"/>
      <c r="KX93" s="3"/>
      <c r="KY93" s="3"/>
      <c r="KZ93" s="3"/>
      <c r="LA93" s="3"/>
      <c r="LB93" s="3"/>
      <c r="LC93" s="3"/>
      <c r="LD93" s="3"/>
      <c r="LE93" s="3"/>
      <c r="LF93" s="3"/>
      <c r="LG93" s="3"/>
      <c r="LH93" s="3"/>
      <c r="LI93" s="3"/>
      <c r="LJ93" s="3"/>
      <c r="LK93" s="3"/>
      <c r="LL93" s="3"/>
      <c r="LM93" s="3"/>
      <c r="LN93" s="3"/>
      <c r="LO93" s="3"/>
      <c r="LP93" s="3"/>
      <c r="LQ93" s="3"/>
      <c r="LR93" s="3"/>
      <c r="LS93" s="3"/>
      <c r="LT93" s="3"/>
      <c r="LU93" s="3"/>
      <c r="LV93" s="3"/>
      <c r="LW93" s="3"/>
      <c r="LX93" s="3"/>
      <c r="LY93" s="3"/>
      <c r="LZ93" s="3"/>
      <c r="MA93" s="3"/>
      <c r="MB93" s="3"/>
      <c r="MC93" s="3"/>
      <c r="MD93" s="3"/>
      <c r="ME93" s="3"/>
      <c r="MF93" s="3"/>
      <c r="MG93" s="3"/>
      <c r="MH93" s="3"/>
      <c r="MI93" s="3"/>
      <c r="MJ93" s="3"/>
      <c r="MK93" s="3"/>
      <c r="ML93" s="3"/>
      <c r="MM93" s="3"/>
      <c r="MN93" s="3"/>
      <c r="MO93" s="3"/>
      <c r="MP93" s="3"/>
      <c r="MQ93" s="3"/>
      <c r="MR93" s="3"/>
      <c r="MS93" s="3"/>
      <c r="MT93" s="3"/>
      <c r="MU93" s="3"/>
      <c r="MV93" s="3"/>
      <c r="MW93" s="3"/>
      <c r="MX93" s="3"/>
      <c r="MY93" s="3"/>
      <c r="MZ93" s="3"/>
      <c r="NA93" s="3"/>
      <c r="NB93" s="3"/>
      <c r="NC93" s="3"/>
      <c r="ND93" s="3"/>
      <c r="NE93" s="3"/>
      <c r="NF93" s="3"/>
      <c r="NG93" s="3"/>
      <c r="NH93" s="3"/>
      <c r="NI93" s="3"/>
      <c r="NJ93" s="3"/>
      <c r="NK93" s="3"/>
      <c r="NL93" s="3"/>
      <c r="NM93" s="3"/>
      <c r="NN93" s="3"/>
      <c r="NO93" s="3"/>
      <c r="NP93" s="3"/>
      <c r="NQ93" s="3"/>
      <c r="NR93" s="3"/>
      <c r="NS93" s="3"/>
      <c r="NT93" s="3"/>
      <c r="NU93" s="3"/>
      <c r="NV93" s="3"/>
      <c r="NW93" s="3"/>
      <c r="NX93" s="3"/>
      <c r="NY93" s="3"/>
      <c r="NZ93" s="3"/>
      <c r="OA93" s="3"/>
      <c r="OB93" s="3"/>
      <c r="OC93" s="3"/>
      <c r="OD93" s="3"/>
      <c r="OE93" s="3"/>
      <c r="OF93" s="3"/>
      <c r="OG93" s="3"/>
      <c r="OH93" s="3"/>
      <c r="OI93" s="3"/>
      <c r="OJ93" s="3"/>
      <c r="OK93" s="3"/>
      <c r="OL93" s="3"/>
      <c r="OM93" s="3"/>
      <c r="ON93" s="3"/>
      <c r="OO93" s="3"/>
      <c r="OP93" s="3"/>
      <c r="OQ93" s="3"/>
      <c r="OR93" s="3"/>
      <c r="OS93" s="3"/>
      <c r="OT93" s="3"/>
      <c r="OU93" s="3"/>
      <c r="OV93" s="3"/>
      <c r="OW93" s="3"/>
      <c r="OX93" s="3"/>
      <c r="OY93" s="3"/>
      <c r="OZ93" s="3"/>
      <c r="PA93" s="3"/>
      <c r="PB93" s="3"/>
      <c r="PC93" s="3"/>
      <c r="PD93" s="3"/>
      <c r="PE93" s="3"/>
      <c r="PF93" s="3"/>
      <c r="PG93" s="3"/>
      <c r="PH93" s="3"/>
      <c r="PI93" s="3"/>
      <c r="PJ93" s="3"/>
      <c r="PK93" s="3"/>
      <c r="PL93" s="3"/>
      <c r="PM93" s="3"/>
      <c r="PN93" s="3"/>
      <c r="PO93" s="3"/>
      <c r="PP93" s="3"/>
      <c r="PQ93" s="3"/>
      <c r="PR93" s="3"/>
      <c r="PS93" s="3"/>
      <c r="PT93" s="3"/>
      <c r="PU93" s="3"/>
      <c r="PV93" s="3"/>
      <c r="PW93" s="3"/>
      <c r="PX93" s="3"/>
      <c r="PY93" s="3"/>
      <c r="PZ93" s="3"/>
      <c r="QA93" s="3"/>
      <c r="QB93" s="3"/>
      <c r="QC93" s="3"/>
      <c r="QD93" s="3"/>
      <c r="QE93" s="3"/>
      <c r="QF93" s="3"/>
      <c r="QG93" s="3"/>
      <c r="QH93" s="3"/>
      <c r="QI93" s="3"/>
      <c r="QJ93" s="3"/>
      <c r="QK93" s="3"/>
      <c r="QL93" s="3"/>
      <c r="QM93" s="3"/>
      <c r="QN93" s="3"/>
      <c r="QO93" s="3"/>
      <c r="QP93" s="3"/>
      <c r="QQ93" s="3"/>
      <c r="QR93" s="3"/>
      <c r="QS93" s="3"/>
      <c r="QT93" s="3"/>
      <c r="QU93" s="3"/>
      <c r="QV93" s="3"/>
      <c r="QW93" s="3"/>
      <c r="QX93" s="3"/>
      <c r="QY93" s="3"/>
      <c r="QZ93" s="3"/>
      <c r="RA93" s="3"/>
      <c r="RB93" s="3"/>
      <c r="RC93" s="3"/>
      <c r="RD93" s="3"/>
      <c r="RE93" s="3"/>
      <c r="RF93" s="3"/>
      <c r="RG93" s="3"/>
      <c r="RH93" s="3"/>
      <c r="RI93" s="3"/>
      <c r="RJ93" s="3"/>
      <c r="RK93" s="3"/>
      <c r="RL93" s="3"/>
      <c r="RM93" s="3"/>
      <c r="RN93" s="3"/>
      <c r="RO93" s="3"/>
      <c r="RP93" s="3"/>
      <c r="RQ93" s="3"/>
      <c r="RR93" s="3"/>
      <c r="RS93" s="3"/>
      <c r="RT93" s="3"/>
      <c r="RU93" s="3"/>
      <c r="RV93" s="3"/>
      <c r="RW93" s="3"/>
      <c r="RX93" s="3"/>
      <c r="RY93" s="3"/>
      <c r="RZ93" s="3"/>
      <c r="SA93" s="3"/>
      <c r="SB93" s="3"/>
      <c r="SC93" s="3"/>
      <c r="SD93" s="3"/>
      <c r="SE93" s="3"/>
      <c r="SF93" s="3"/>
      <c r="SG93" s="3"/>
      <c r="SH93" s="3"/>
      <c r="SI93" s="3"/>
      <c r="SJ93" s="3"/>
      <c r="SK93" s="3"/>
      <c r="SL93" s="3"/>
      <c r="SM93" s="3"/>
      <c r="SN93" s="3"/>
      <c r="SO93" s="3"/>
      <c r="SP93" s="3"/>
      <c r="SQ93" s="3"/>
      <c r="SR93" s="3"/>
      <c r="SS93" s="3"/>
      <c r="ST93" s="3"/>
      <c r="SU93" s="3"/>
      <c r="SV93" s="3"/>
      <c r="SW93" s="3"/>
      <c r="SX93" s="3"/>
      <c r="SY93" s="3"/>
      <c r="SZ93" s="3"/>
      <c r="TA93" s="3"/>
      <c r="TB93" s="3"/>
      <c r="TC93" s="3"/>
      <c r="TD93" s="3"/>
      <c r="TE93" s="3"/>
      <c r="TF93" s="3"/>
      <c r="TG93" s="3"/>
      <c r="TH93" s="3"/>
      <c r="TI93" s="3"/>
      <c r="TJ93" s="3"/>
      <c r="TK93" s="3"/>
      <c r="TL93" s="3"/>
      <c r="TM93" s="3"/>
      <c r="TN93" s="3"/>
      <c r="TO93" s="3"/>
      <c r="TP93" s="3"/>
      <c r="TQ93" s="3"/>
      <c r="TR93" s="3"/>
      <c r="TS93" s="3"/>
      <c r="TT93" s="3"/>
      <c r="TU93" s="3"/>
      <c r="TV93" s="3"/>
      <c r="TW93" s="3"/>
      <c r="TX93" s="3"/>
      <c r="TY93" s="3"/>
      <c r="TZ93" s="3"/>
      <c r="UA93" s="3"/>
      <c r="UB93" s="3"/>
      <c r="UC93" s="3"/>
      <c r="UD93" s="3"/>
      <c r="UE93" s="3"/>
      <c r="UF93" s="3"/>
      <c r="UG93" s="3"/>
      <c r="UH93" s="3"/>
      <c r="UI93" s="3"/>
      <c r="UJ93" s="3"/>
      <c r="UK93" s="3"/>
      <c r="UL93" s="3"/>
      <c r="UM93" s="3"/>
      <c r="UN93" s="3"/>
      <c r="UO93" s="3"/>
      <c r="UP93" s="3"/>
      <c r="UQ93" s="3"/>
      <c r="UR93" s="3"/>
      <c r="US93" s="3"/>
      <c r="UT93" s="3"/>
      <c r="UU93" s="3"/>
      <c r="UV93" s="3"/>
      <c r="UW93" s="3"/>
      <c r="UX93" s="3"/>
      <c r="UY93" s="3"/>
      <c r="UZ93" s="3"/>
      <c r="VA93" s="3"/>
      <c r="VB93" s="3"/>
      <c r="VC93" s="3"/>
      <c r="VD93" s="3"/>
      <c r="VE93" s="3"/>
      <c r="VF93" s="3"/>
      <c r="VG93" s="3"/>
      <c r="VH93" s="3"/>
      <c r="VI93" s="3"/>
      <c r="VJ93" s="3"/>
      <c r="VK93" s="3"/>
      <c r="VL93" s="3"/>
      <c r="VM93" s="3"/>
      <c r="VN93" s="3"/>
      <c r="VO93" s="3"/>
      <c r="VP93" s="3"/>
      <c r="VQ93" s="3"/>
      <c r="VR93" s="3"/>
      <c r="VS93" s="3"/>
      <c r="VT93" s="3"/>
      <c r="VU93" s="3"/>
      <c r="VV93" s="3"/>
      <c r="VW93" s="3"/>
      <c r="VX93" s="3"/>
      <c r="VY93" s="3"/>
      <c r="VZ93" s="3"/>
      <c r="WA93" s="3"/>
      <c r="WB93" s="3"/>
      <c r="WC93" s="3"/>
      <c r="WD93" s="3"/>
      <c r="WE93" s="3"/>
      <c r="WF93" s="3"/>
      <c r="WG93" s="3"/>
      <c r="WH93" s="3"/>
      <c r="WI93" s="3"/>
      <c r="WJ93" s="3"/>
      <c r="WK93" s="3"/>
      <c r="WL93" s="3"/>
      <c r="WM93" s="3"/>
      <c r="WN93" s="3"/>
      <c r="WO93" s="3"/>
      <c r="WP93" s="3"/>
      <c r="WQ93" s="3"/>
      <c r="WR93" s="3"/>
      <c r="WS93" s="3"/>
      <c r="WT93" s="3"/>
      <c r="WU93" s="3"/>
      <c r="WV93" s="3"/>
      <c r="WW93" s="3"/>
      <c r="WX93" s="3"/>
      <c r="WY93" s="3"/>
      <c r="WZ93" s="3"/>
      <c r="XA93" s="3"/>
      <c r="XB93" s="3"/>
      <c r="XC93" s="3"/>
      <c r="XD93" s="3"/>
      <c r="XE93" s="3"/>
      <c r="XF93" s="3"/>
      <c r="XG93" s="3"/>
      <c r="XH93" s="3"/>
      <c r="XI93" s="3"/>
      <c r="XJ93" s="3"/>
      <c r="XK93" s="3"/>
      <c r="XL93" s="3"/>
      <c r="XM93" s="3"/>
      <c r="XN93" s="3"/>
      <c r="XO93" s="3"/>
      <c r="XP93" s="3"/>
      <c r="XQ93" s="3"/>
      <c r="XR93" s="3"/>
      <c r="XS93" s="3"/>
      <c r="XT93" s="3"/>
      <c r="XU93" s="3"/>
      <c r="XV93" s="3"/>
      <c r="XW93" s="3"/>
      <c r="XX93" s="3"/>
      <c r="XY93" s="3"/>
      <c r="XZ93" s="3"/>
      <c r="YA93" s="3"/>
      <c r="YB93" s="3"/>
      <c r="YC93" s="3"/>
      <c r="YD93" s="3"/>
      <c r="YE93" s="3"/>
      <c r="YF93" s="3"/>
      <c r="YG93" s="3"/>
      <c r="YH93" s="3"/>
      <c r="YI93" s="3"/>
      <c r="YJ93" s="3"/>
      <c r="YK93" s="3"/>
      <c r="YL93" s="3"/>
      <c r="YM93" s="3"/>
      <c r="YN93" s="3"/>
      <c r="YO93" s="3"/>
      <c r="YP93" s="3"/>
      <c r="YQ93" s="3"/>
      <c r="YR93" s="3"/>
      <c r="YS93" s="3"/>
      <c r="YT93" s="3"/>
      <c r="YU93" s="3"/>
      <c r="YV93" s="3"/>
      <c r="YW93" s="3"/>
      <c r="YX93" s="3"/>
      <c r="YY93" s="3"/>
      <c r="YZ93" s="3"/>
      <c r="ZA93" s="3"/>
      <c r="ZB93" s="3"/>
      <c r="ZC93" s="3"/>
      <c r="ZD93" s="3"/>
      <c r="ZE93" s="3"/>
      <c r="ZF93" s="3"/>
      <c r="ZG93" s="3"/>
      <c r="ZH93" s="3"/>
      <c r="ZI93" s="3"/>
      <c r="ZJ93" s="3"/>
      <c r="ZK93" s="3"/>
      <c r="ZL93" s="3"/>
      <c r="ZM93" s="3"/>
      <c r="ZN93" s="3"/>
      <c r="ZO93" s="3"/>
      <c r="ZP93" s="3"/>
      <c r="ZQ93" s="3"/>
      <c r="ZR93" s="3"/>
      <c r="ZS93" s="3"/>
      <c r="ZT93" s="3"/>
      <c r="ZU93" s="3"/>
      <c r="ZV93" s="3"/>
      <c r="ZW93" s="3"/>
      <c r="ZX93" s="3"/>
      <c r="ZY93" s="3"/>
      <c r="ZZ93" s="3"/>
      <c r="AAA93" s="3"/>
      <c r="AAB93" s="3"/>
      <c r="AAC93" s="3"/>
      <c r="AAD93" s="3"/>
      <c r="AAE93" s="3"/>
      <c r="AAF93" s="3"/>
      <c r="AAG93" s="3"/>
      <c r="AAH93" s="3"/>
      <c r="AAI93" s="3"/>
      <c r="AAJ93" s="3"/>
      <c r="AAK93" s="3"/>
      <c r="AAL93" s="3"/>
      <c r="AAM93" s="3"/>
      <c r="AAN93" s="3"/>
      <c r="AAO93" s="3"/>
      <c r="AAP93" s="3"/>
      <c r="AAQ93" s="3"/>
      <c r="AAR93" s="3"/>
      <c r="AAS93" s="3"/>
      <c r="AAT93" s="3"/>
      <c r="AAU93" s="3"/>
      <c r="AAV93" s="3"/>
      <c r="AAW93" s="3"/>
      <c r="AAX93" s="3"/>
      <c r="AAY93" s="3"/>
      <c r="AAZ93" s="3"/>
      <c r="ABA93" s="3"/>
      <c r="ABB93" s="3"/>
      <c r="ABC93" s="3"/>
      <c r="ABD93" s="3"/>
      <c r="ABE93" s="3"/>
      <c r="ABF93" s="3"/>
      <c r="ABG93" s="3"/>
      <c r="ABH93" s="3"/>
      <c r="ABI93" s="3"/>
      <c r="ABJ93" s="3"/>
      <c r="ABK93" s="3"/>
      <c r="ABL93" s="3"/>
      <c r="ABM93" s="3"/>
      <c r="ABN93" s="3"/>
      <c r="ABO93" s="3"/>
      <c r="ABP93" s="3"/>
      <c r="ABQ93" s="3"/>
      <c r="ABR93" s="3"/>
      <c r="ABS93" s="3"/>
      <c r="ABT93" s="3"/>
      <c r="ABU93" s="3"/>
      <c r="ABV93" s="3"/>
      <c r="ABW93" s="3"/>
      <c r="ABX93" s="3"/>
      <c r="ABY93" s="3"/>
      <c r="ABZ93" s="3"/>
      <c r="ACA93" s="3"/>
      <c r="ACB93" s="3"/>
      <c r="ACC93" s="3"/>
      <c r="ACD93" s="3"/>
      <c r="ACE93" s="3"/>
      <c r="ACF93" s="3"/>
      <c r="ACG93" s="3"/>
      <c r="ACH93" s="3"/>
      <c r="ACI93" s="3"/>
      <c r="ACJ93" s="3"/>
      <c r="ACK93" s="3"/>
      <c r="ACL93" s="3"/>
      <c r="ACM93" s="3"/>
      <c r="ACN93" s="3"/>
      <c r="ACO93" s="3"/>
      <c r="ACP93" s="3"/>
      <c r="ACQ93" s="3"/>
      <c r="ACR93" s="3"/>
      <c r="ACS93" s="3"/>
      <c r="ACT93" s="3"/>
      <c r="ACU93" s="3"/>
      <c r="ACV93" s="3"/>
      <c r="ACW93" s="3"/>
      <c r="ACX93" s="3"/>
      <c r="ACY93" s="3"/>
      <c r="ACZ93" s="3"/>
      <c r="ADA93" s="3"/>
      <c r="ADB93" s="3"/>
      <c r="ADC93" s="3"/>
      <c r="ADD93" s="3"/>
      <c r="ADE93" s="3"/>
      <c r="ADF93" s="3"/>
      <c r="ADG93" s="3"/>
      <c r="ADH93" s="3"/>
      <c r="ADI93" s="3"/>
      <c r="ADJ93" s="3"/>
      <c r="ADK93" s="3"/>
      <c r="ADL93" s="3"/>
      <c r="ADM93" s="3"/>
      <c r="ADN93" s="3"/>
      <c r="ADO93" s="3"/>
      <c r="ADP93" s="3"/>
      <c r="ADQ93" s="3"/>
      <c r="ADR93" s="3"/>
      <c r="ADS93" s="3"/>
      <c r="ADT93" s="3"/>
      <c r="ADU93" s="3"/>
      <c r="ADV93" s="3"/>
      <c r="ADW93" s="3"/>
      <c r="ADX93" s="3"/>
      <c r="ADY93" s="3"/>
      <c r="ADZ93" s="3"/>
      <c r="AEA93" s="3"/>
      <c r="AEB93" s="3"/>
      <c r="AEC93" s="3"/>
      <c r="AED93" s="3"/>
      <c r="AEE93" s="3"/>
      <c r="AEF93" s="3"/>
      <c r="AEG93" s="3"/>
      <c r="AEH93" s="3"/>
      <c r="AEI93" s="3"/>
      <c r="AEJ93" s="3"/>
      <c r="AEK93" s="3"/>
      <c r="AEL93" s="3"/>
      <c r="AEM93" s="3"/>
      <c r="AEN93" s="3"/>
      <c r="AEO93" s="3"/>
      <c r="AEP93" s="3"/>
      <c r="AEQ93" s="3"/>
      <c r="AER93" s="3"/>
      <c r="AES93" s="3"/>
      <c r="AET93" s="3"/>
      <c r="AEU93" s="3"/>
      <c r="AEV93" s="3"/>
      <c r="AEW93" s="3"/>
      <c r="AEX93" s="3"/>
      <c r="AEY93" s="3"/>
      <c r="AEZ93" s="3"/>
      <c r="AFA93" s="3"/>
      <c r="AFB93" s="3"/>
      <c r="AFC93" s="3"/>
      <c r="AFD93" s="3"/>
      <c r="AFE93" s="3"/>
      <c r="AFF93" s="3"/>
      <c r="AFG93" s="3"/>
      <c r="AFH93" s="3"/>
      <c r="AFI93" s="3"/>
      <c r="AFJ93" s="3"/>
      <c r="AFK93" s="3"/>
      <c r="AFL93" s="3"/>
      <c r="AFM93" s="3"/>
      <c r="AFN93" s="3"/>
      <c r="AFO93" s="3"/>
      <c r="AFP93" s="3"/>
      <c r="AFQ93" s="3"/>
      <c r="AFR93" s="3"/>
      <c r="AFS93" s="3"/>
      <c r="AFT93" s="3"/>
      <c r="AFU93" s="3"/>
      <c r="AFV93" s="3"/>
      <c r="AFW93" s="3"/>
      <c r="AFX93" s="3"/>
      <c r="AFY93" s="3"/>
      <c r="AFZ93" s="3"/>
      <c r="AGA93" s="3"/>
      <c r="AGB93" s="3"/>
      <c r="AGC93" s="3"/>
      <c r="AGD93" s="3"/>
      <c r="AGE93" s="3"/>
      <c r="AGF93" s="3"/>
      <c r="AGG93" s="3"/>
      <c r="AGH93" s="3"/>
      <c r="AGI93" s="3"/>
      <c r="AGJ93" s="3"/>
      <c r="AGK93" s="3"/>
      <c r="AGL93" s="3"/>
      <c r="AGM93" s="3"/>
      <c r="AGN93" s="3"/>
      <c r="AGO93" s="3"/>
      <c r="AGP93" s="3"/>
      <c r="AGQ93" s="3"/>
      <c r="AGR93" s="3"/>
      <c r="AGS93" s="3"/>
      <c r="AGT93" s="3"/>
      <c r="AGU93" s="3"/>
      <c r="AGV93" s="3"/>
      <c r="AGW93" s="3"/>
      <c r="AGX93" s="3"/>
      <c r="AGY93" s="3"/>
      <c r="AGZ93" s="3"/>
      <c r="AHA93" s="3"/>
      <c r="AHB93" s="3"/>
      <c r="AHC93" s="3"/>
      <c r="AHD93" s="3"/>
      <c r="AHE93" s="3"/>
      <c r="AHF93" s="3"/>
      <c r="AHG93" s="3"/>
      <c r="AHH93" s="3"/>
      <c r="AHI93" s="3"/>
      <c r="AHJ93" s="3"/>
      <c r="AHK93" s="3"/>
      <c r="AHL93" s="3"/>
      <c r="AHM93" s="3"/>
      <c r="AHN93" s="3"/>
      <c r="AHO93" s="3"/>
      <c r="AHP93" s="3"/>
      <c r="AHQ93" s="3"/>
      <c r="AHR93" s="3"/>
      <c r="AHS93" s="3"/>
      <c r="AHT93" s="3"/>
      <c r="AHU93" s="3"/>
      <c r="AHV93" s="3"/>
      <c r="AHW93" s="3"/>
      <c r="AHX93" s="3"/>
      <c r="AHY93" s="3"/>
      <c r="AHZ93" s="3"/>
      <c r="AIA93" s="3"/>
      <c r="AIB93" s="3"/>
      <c r="AIC93" s="3"/>
      <c r="AID93" s="3"/>
      <c r="AIE93" s="3"/>
      <c r="AIF93" s="3"/>
      <c r="AIG93" s="3"/>
      <c r="AIH93" s="3"/>
      <c r="AII93" s="3"/>
      <c r="AIJ93" s="3"/>
      <c r="AIK93" s="3"/>
      <c r="AIL93" s="3"/>
      <c r="AIM93" s="3"/>
      <c r="AIN93" s="3"/>
      <c r="AIO93" s="3"/>
      <c r="AIP93" s="3"/>
      <c r="AIQ93" s="3"/>
      <c r="AIR93" s="3"/>
      <c r="AIS93" s="3"/>
      <c r="AIT93" s="3"/>
      <c r="AIU93" s="3"/>
      <c r="AIV93" s="3"/>
      <c r="AIW93" s="3"/>
      <c r="AIX93" s="3"/>
      <c r="AIY93" s="3"/>
      <c r="AIZ93" s="3"/>
      <c r="AJA93" s="3"/>
      <c r="AJB93" s="3"/>
      <c r="AJC93" s="3"/>
      <c r="AJD93" s="3"/>
      <c r="AJE93" s="3"/>
      <c r="AJF93" s="3"/>
      <c r="AJG93" s="3"/>
      <c r="AJH93" s="3"/>
      <c r="AJI93" s="3"/>
      <c r="AJJ93" s="3"/>
      <c r="AJK93" s="3"/>
      <c r="AJL93" s="3"/>
      <c r="AJM93" s="3"/>
      <c r="AJN93" s="3"/>
      <c r="AJO93" s="3"/>
      <c r="AJP93" s="3"/>
      <c r="AJQ93" s="3"/>
      <c r="AJR93" s="3"/>
      <c r="AJS93" s="3"/>
      <c r="AJT93" s="3"/>
      <c r="AJU93" s="3"/>
      <c r="AJV93" s="3"/>
      <c r="AJW93" s="3"/>
      <c r="AJX93" s="3"/>
      <c r="AJY93" s="3"/>
      <c r="AJZ93" s="3"/>
      <c r="AKA93" s="3"/>
      <c r="AKB93" s="3"/>
      <c r="AKC93" s="3"/>
      <c r="AKD93" s="3"/>
      <c r="AKE93" s="3"/>
      <c r="AKF93" s="3"/>
      <c r="AKG93" s="3"/>
      <c r="AKH93" s="3"/>
      <c r="AKI93" s="3"/>
      <c r="AKJ93" s="3"/>
      <c r="AKK93" s="3"/>
      <c r="AKL93" s="3"/>
      <c r="AKM93" s="3"/>
      <c r="AKN93" s="3"/>
      <c r="AKO93" s="3"/>
      <c r="AKP93" s="3"/>
      <c r="AKQ93" s="3"/>
      <c r="AKR93" s="3"/>
      <c r="AKS93" s="3"/>
      <c r="AKT93" s="3"/>
      <c r="AKU93" s="3"/>
      <c r="AKV93" s="3"/>
      <c r="AKW93" s="3"/>
      <c r="AKX93" s="3"/>
      <c r="AKY93" s="3"/>
      <c r="AKZ93" s="3"/>
      <c r="ALA93" s="3"/>
      <c r="ALB93" s="3"/>
      <c r="ALC93" s="3"/>
      <c r="ALD93" s="3"/>
      <c r="ALE93" s="3"/>
      <c r="ALF93" s="3"/>
      <c r="ALG93" s="3"/>
      <c r="ALH93" s="3"/>
      <c r="ALI93" s="3"/>
      <c r="ALJ93" s="3"/>
      <c r="ALK93" s="3"/>
      <c r="ALL93" s="3"/>
      <c r="ALM93" s="3"/>
      <c r="ALN93" s="3"/>
      <c r="ALO93" s="3"/>
      <c r="ALP93" s="3"/>
      <c r="ALQ93" s="3"/>
      <c r="ALR93" s="3"/>
      <c r="ALS93" s="3"/>
      <c r="ALT93" s="3"/>
      <c r="ALU93" s="3"/>
      <c r="ALV93" s="3"/>
      <c r="ALW93" s="3"/>
      <c r="ALX93" s="3"/>
      <c r="ALY93" s="3"/>
      <c r="ALZ93" s="3"/>
      <c r="AMA93" s="3"/>
      <c r="AMB93" s="3"/>
      <c r="AMC93" s="3"/>
      <c r="AMD93" s="3"/>
      <c r="AME93" s="3"/>
      <c r="AMF93" s="3"/>
      <c r="AMG93" s="3"/>
      <c r="AMH93" s="3"/>
      <c r="AMI93" s="3"/>
      <c r="AMJ93" s="3"/>
      <c r="AMK93" s="3"/>
      <c r="AML93" s="3"/>
      <c r="AMM93" s="3"/>
      <c r="AMN93" s="3"/>
      <c r="AMO93" s="3"/>
      <c r="AMP93" s="3"/>
      <c r="AMQ93" s="3"/>
      <c r="AMR93" s="3"/>
      <c r="AMS93" s="3"/>
      <c r="AMT93" s="3"/>
      <c r="AMU93" s="3"/>
      <c r="AMV93" s="3"/>
      <c r="AMW93" s="3"/>
      <c r="AMX93" s="3"/>
      <c r="AMY93" s="3"/>
      <c r="AMZ93" s="3"/>
      <c r="ANA93" s="3"/>
      <c r="ANB93" s="3"/>
      <c r="ANC93" s="3"/>
      <c r="AND93" s="3"/>
      <c r="ANE93" s="3"/>
      <c r="ANF93" s="3"/>
      <c r="ANG93" s="3"/>
      <c r="ANH93" s="3"/>
      <c r="ANI93" s="3"/>
      <c r="ANJ93" s="3"/>
      <c r="ANK93" s="3"/>
      <c r="ANL93" s="3"/>
      <c r="ANM93" s="3"/>
      <c r="ANN93" s="3"/>
      <c r="ANO93" s="3"/>
      <c r="ANP93" s="3"/>
      <c r="ANQ93" s="3"/>
      <c r="ANR93" s="3"/>
      <c r="ANS93" s="3"/>
      <c r="ANT93" s="3"/>
      <c r="ANU93" s="3"/>
      <c r="ANV93" s="3"/>
      <c r="ANW93" s="3"/>
      <c r="ANX93" s="3"/>
      <c r="ANY93" s="3"/>
      <c r="ANZ93" s="3"/>
      <c r="AOA93" s="3"/>
      <c r="AOB93" s="3"/>
      <c r="AOC93" s="3"/>
      <c r="AOD93" s="3"/>
      <c r="AOE93" s="3"/>
      <c r="AOF93" s="3"/>
      <c r="AOG93" s="3"/>
      <c r="AOH93" s="3"/>
      <c r="AOI93" s="3"/>
      <c r="AOJ93" s="3"/>
      <c r="AOK93" s="3"/>
      <c r="AOL93" s="3"/>
      <c r="AOM93" s="3"/>
      <c r="AON93" s="3"/>
      <c r="AOO93" s="3"/>
      <c r="AOP93" s="3"/>
      <c r="AOQ93" s="3"/>
      <c r="AOR93" s="3"/>
      <c r="AOS93" s="3"/>
      <c r="AOT93" s="3"/>
      <c r="AOU93" s="3"/>
      <c r="AOV93" s="3"/>
      <c r="AOW93" s="3"/>
      <c r="AOX93" s="3"/>
      <c r="AOY93" s="3"/>
      <c r="AOZ93" s="3"/>
      <c r="APA93" s="3"/>
      <c r="APB93" s="3"/>
      <c r="APC93" s="3"/>
      <c r="APD93" s="3"/>
      <c r="APE93" s="3"/>
      <c r="APF93" s="3"/>
      <c r="APG93" s="3"/>
      <c r="APH93" s="3"/>
      <c r="API93" s="3"/>
      <c r="APJ93" s="3"/>
      <c r="APK93" s="3"/>
      <c r="APL93" s="3"/>
      <c r="APM93" s="3"/>
      <c r="APN93" s="3"/>
      <c r="APO93" s="3"/>
      <c r="APP93" s="3"/>
      <c r="APQ93" s="3"/>
      <c r="APR93" s="3"/>
      <c r="APS93" s="3"/>
    </row>
    <row r="94" spans="1:1351" x14ac:dyDescent="0.25">
      <c r="A94" s="26" t="s">
        <v>122</v>
      </c>
      <c r="B94" s="27"/>
      <c r="C94" s="10">
        <f>AVERAGE(logistics!B15:K15)</f>
        <v>9.8944200000000007E-5</v>
      </c>
      <c r="D94" s="11">
        <f>AVERAGE(logistics!B44:K44)</f>
        <v>1.3388399999999999E-5</v>
      </c>
      <c r="E94" s="15">
        <f t="shared" si="2"/>
        <v>1.5232586088099092</v>
      </c>
      <c r="F94" s="15">
        <f t="shared" si="3"/>
        <v>6.3902930895401999</v>
      </c>
      <c r="G94" s="6" t="s">
        <v>32</v>
      </c>
      <c r="H94" s="18">
        <v>1.7357249467658158</v>
      </c>
      <c r="I94" s="3"/>
      <c r="J94" s="6" t="s">
        <v>32</v>
      </c>
      <c r="K94" s="18">
        <v>13.135745697704772</v>
      </c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  <c r="DK94" s="3"/>
      <c r="DL94" s="3"/>
      <c r="DM94" s="3"/>
      <c r="DN94" s="3"/>
      <c r="DO94" s="3"/>
      <c r="DP94" s="3"/>
      <c r="DQ94" s="3"/>
      <c r="DR94" s="3"/>
      <c r="DS94" s="3"/>
      <c r="DT94" s="3"/>
      <c r="DU94" s="3"/>
      <c r="DV94" s="3"/>
      <c r="DW94" s="3"/>
      <c r="DX94" s="3"/>
      <c r="DY94" s="3"/>
      <c r="DZ94" s="3"/>
      <c r="EA94" s="3"/>
      <c r="EB94" s="3"/>
      <c r="EC94" s="3"/>
      <c r="ED94" s="3"/>
      <c r="EE94" s="3"/>
      <c r="EF94" s="3"/>
      <c r="EG94" s="3"/>
      <c r="EH94" s="3"/>
      <c r="EI94" s="3"/>
      <c r="EJ94" s="3"/>
      <c r="EK94" s="3"/>
      <c r="EL94" s="3"/>
      <c r="EM94" s="3"/>
      <c r="EN94" s="3"/>
      <c r="EO94" s="3"/>
      <c r="EP94" s="3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  <c r="FH94" s="3"/>
      <c r="FI94" s="3"/>
      <c r="FJ94" s="3"/>
      <c r="FK94" s="3"/>
      <c r="FL94" s="3"/>
      <c r="FM94" s="3"/>
      <c r="FN94" s="3"/>
      <c r="FO94" s="3"/>
      <c r="FP94" s="3"/>
      <c r="FQ94" s="3"/>
      <c r="FR94" s="3"/>
      <c r="FS94" s="3"/>
      <c r="FT94" s="3"/>
      <c r="FU94" s="3"/>
      <c r="FV94" s="3"/>
      <c r="FW94" s="3"/>
      <c r="FX94" s="3"/>
      <c r="FY94" s="3"/>
      <c r="FZ94" s="3"/>
      <c r="GA94" s="3"/>
      <c r="GB94" s="3"/>
      <c r="GC94" s="3"/>
      <c r="GD94" s="3"/>
      <c r="GE94" s="3"/>
      <c r="GF94" s="3"/>
      <c r="GG94" s="3"/>
      <c r="GH94" s="3"/>
      <c r="GI94" s="3"/>
      <c r="GJ94" s="3"/>
      <c r="GK94" s="3"/>
      <c r="GL94" s="3"/>
      <c r="GM94" s="3"/>
      <c r="GN94" s="3"/>
      <c r="GO94" s="3"/>
      <c r="GP94" s="3"/>
      <c r="GQ94" s="3"/>
      <c r="GR94" s="3"/>
      <c r="GS94" s="3"/>
      <c r="GT94" s="3"/>
      <c r="GU94" s="3"/>
      <c r="GV94" s="3"/>
      <c r="GW94" s="3"/>
      <c r="GX94" s="3"/>
      <c r="GY94" s="3"/>
      <c r="GZ94" s="3"/>
      <c r="HA94" s="3"/>
      <c r="HB94" s="3"/>
      <c r="HC94" s="3"/>
      <c r="HD94" s="3"/>
      <c r="HE94" s="3"/>
      <c r="HF94" s="3"/>
      <c r="HG94" s="3"/>
      <c r="HH94" s="3"/>
      <c r="HI94" s="3"/>
      <c r="HJ94" s="3"/>
      <c r="HK94" s="3"/>
      <c r="HL94" s="3"/>
      <c r="HM94" s="3"/>
      <c r="HN94" s="3"/>
      <c r="HO94" s="3"/>
      <c r="HP94" s="3"/>
      <c r="HQ94" s="3"/>
      <c r="HR94" s="3"/>
      <c r="HS94" s="3"/>
      <c r="HT94" s="3"/>
      <c r="HU94" s="3"/>
      <c r="HV94" s="3"/>
      <c r="HW94" s="3"/>
      <c r="HX94" s="3"/>
      <c r="HY94" s="3"/>
      <c r="HZ94" s="3"/>
      <c r="IA94" s="3"/>
      <c r="IB94" s="3"/>
      <c r="IC94" s="3"/>
      <c r="ID94" s="3"/>
      <c r="IE94" s="3"/>
      <c r="IF94" s="3"/>
      <c r="IG94" s="3"/>
      <c r="IH94" s="3"/>
      <c r="II94" s="3"/>
      <c r="IJ94" s="3"/>
      <c r="IK94" s="3"/>
      <c r="IL94" s="3"/>
      <c r="IM94" s="3"/>
      <c r="IN94" s="3"/>
      <c r="IO94" s="3"/>
      <c r="IP94" s="3"/>
      <c r="IQ94" s="3"/>
      <c r="IR94" s="3"/>
      <c r="IS94" s="3"/>
      <c r="IT94" s="3"/>
      <c r="IU94" s="3"/>
      <c r="IV94" s="3"/>
      <c r="IW94" s="3"/>
      <c r="IX94" s="3"/>
      <c r="IY94" s="3"/>
      <c r="IZ94" s="3"/>
      <c r="JA94" s="3"/>
      <c r="JB94" s="3"/>
      <c r="JC94" s="3"/>
      <c r="JD94" s="3"/>
      <c r="JE94" s="3"/>
      <c r="JF94" s="3"/>
      <c r="JG94" s="3"/>
      <c r="JH94" s="3"/>
      <c r="JI94" s="3"/>
      <c r="JJ94" s="3"/>
      <c r="JK94" s="3"/>
      <c r="JL94" s="3"/>
      <c r="JM94" s="3"/>
      <c r="JN94" s="3"/>
      <c r="JO94" s="3"/>
      <c r="JP94" s="3"/>
      <c r="JQ94" s="3"/>
      <c r="JR94" s="3"/>
      <c r="JS94" s="3"/>
      <c r="JT94" s="3"/>
      <c r="JU94" s="3"/>
      <c r="JV94" s="3"/>
      <c r="JW94" s="3"/>
      <c r="JX94" s="3"/>
      <c r="JY94" s="3"/>
      <c r="JZ94" s="3"/>
      <c r="KA94" s="3"/>
      <c r="KB94" s="3"/>
      <c r="KC94" s="3"/>
      <c r="KD94" s="3"/>
      <c r="KE94" s="3"/>
      <c r="KF94" s="3"/>
      <c r="KG94" s="3"/>
      <c r="KH94" s="3"/>
      <c r="KI94" s="3"/>
      <c r="KJ94" s="3"/>
      <c r="KK94" s="3"/>
      <c r="KL94" s="3"/>
      <c r="KM94" s="3"/>
      <c r="KN94" s="3"/>
      <c r="KO94" s="3"/>
      <c r="KP94" s="3"/>
      <c r="KQ94" s="3"/>
      <c r="KR94" s="3"/>
      <c r="KS94" s="3"/>
      <c r="KT94" s="3"/>
      <c r="KU94" s="3"/>
      <c r="KV94" s="3"/>
      <c r="KW94" s="3"/>
      <c r="KX94" s="3"/>
      <c r="KY94" s="3"/>
      <c r="KZ94" s="3"/>
      <c r="LA94" s="3"/>
      <c r="LB94" s="3"/>
      <c r="LC94" s="3"/>
      <c r="LD94" s="3"/>
      <c r="LE94" s="3"/>
      <c r="LF94" s="3"/>
      <c r="LG94" s="3"/>
      <c r="LH94" s="3"/>
      <c r="LI94" s="3"/>
      <c r="LJ94" s="3"/>
      <c r="LK94" s="3"/>
      <c r="LL94" s="3"/>
      <c r="LM94" s="3"/>
      <c r="LN94" s="3"/>
      <c r="LO94" s="3"/>
      <c r="LP94" s="3"/>
      <c r="LQ94" s="3"/>
      <c r="LR94" s="3"/>
      <c r="LS94" s="3"/>
      <c r="LT94" s="3"/>
      <c r="LU94" s="3"/>
      <c r="LV94" s="3"/>
      <c r="LW94" s="3"/>
      <c r="LX94" s="3"/>
      <c r="LY94" s="3"/>
      <c r="LZ94" s="3"/>
      <c r="MA94" s="3"/>
      <c r="MB94" s="3"/>
      <c r="MC94" s="3"/>
      <c r="MD94" s="3"/>
      <c r="ME94" s="3"/>
      <c r="MF94" s="3"/>
      <c r="MG94" s="3"/>
      <c r="MH94" s="3"/>
      <c r="MI94" s="3"/>
      <c r="MJ94" s="3"/>
      <c r="MK94" s="3"/>
      <c r="ML94" s="3"/>
      <c r="MM94" s="3"/>
      <c r="MN94" s="3"/>
      <c r="MO94" s="3"/>
      <c r="MP94" s="3"/>
      <c r="MQ94" s="3"/>
      <c r="MR94" s="3"/>
      <c r="MS94" s="3"/>
      <c r="MT94" s="3"/>
      <c r="MU94" s="3"/>
      <c r="MV94" s="3"/>
      <c r="MW94" s="3"/>
      <c r="MX94" s="3"/>
      <c r="MY94" s="3"/>
      <c r="MZ94" s="3"/>
      <c r="NA94" s="3"/>
      <c r="NB94" s="3"/>
      <c r="NC94" s="3"/>
      <c r="ND94" s="3"/>
      <c r="NE94" s="3"/>
      <c r="NF94" s="3"/>
      <c r="NG94" s="3"/>
      <c r="NH94" s="3"/>
      <c r="NI94" s="3"/>
      <c r="NJ94" s="3"/>
      <c r="NK94" s="3"/>
      <c r="NL94" s="3"/>
      <c r="NM94" s="3"/>
      <c r="NN94" s="3"/>
      <c r="NO94" s="3"/>
      <c r="NP94" s="3"/>
      <c r="NQ94" s="3"/>
      <c r="NR94" s="3"/>
      <c r="NS94" s="3"/>
      <c r="NT94" s="3"/>
      <c r="NU94" s="3"/>
      <c r="NV94" s="3"/>
      <c r="NW94" s="3"/>
      <c r="NX94" s="3"/>
      <c r="NY94" s="3"/>
      <c r="NZ94" s="3"/>
      <c r="OA94" s="3"/>
      <c r="OB94" s="3"/>
      <c r="OC94" s="3"/>
      <c r="OD94" s="3"/>
      <c r="OE94" s="3"/>
      <c r="OF94" s="3"/>
      <c r="OG94" s="3"/>
      <c r="OH94" s="3"/>
      <c r="OI94" s="3"/>
      <c r="OJ94" s="3"/>
      <c r="OK94" s="3"/>
      <c r="OL94" s="3"/>
      <c r="OM94" s="3"/>
      <c r="ON94" s="3"/>
      <c r="OO94" s="3"/>
      <c r="OP94" s="3"/>
      <c r="OQ94" s="3"/>
      <c r="OR94" s="3"/>
      <c r="OS94" s="3"/>
      <c r="OT94" s="3"/>
      <c r="OU94" s="3"/>
      <c r="OV94" s="3"/>
      <c r="OW94" s="3"/>
      <c r="OX94" s="3"/>
      <c r="OY94" s="3"/>
      <c r="OZ94" s="3"/>
      <c r="PA94" s="3"/>
      <c r="PB94" s="3"/>
      <c r="PC94" s="3"/>
      <c r="PD94" s="3"/>
      <c r="PE94" s="3"/>
      <c r="PF94" s="3"/>
      <c r="PG94" s="3"/>
      <c r="PH94" s="3"/>
      <c r="PI94" s="3"/>
      <c r="PJ94" s="3"/>
      <c r="PK94" s="3"/>
      <c r="PL94" s="3"/>
      <c r="PM94" s="3"/>
      <c r="PN94" s="3"/>
      <c r="PO94" s="3"/>
      <c r="PP94" s="3"/>
      <c r="PQ94" s="3"/>
      <c r="PR94" s="3"/>
      <c r="PS94" s="3"/>
      <c r="PT94" s="3"/>
      <c r="PU94" s="3"/>
      <c r="PV94" s="3"/>
      <c r="PW94" s="3"/>
      <c r="PX94" s="3"/>
      <c r="PY94" s="3"/>
      <c r="PZ94" s="3"/>
      <c r="QA94" s="3"/>
      <c r="QB94" s="3"/>
      <c r="QC94" s="3"/>
      <c r="QD94" s="3"/>
      <c r="QE94" s="3"/>
      <c r="QF94" s="3"/>
      <c r="QG94" s="3"/>
      <c r="QH94" s="3"/>
      <c r="QI94" s="3"/>
      <c r="QJ94" s="3"/>
      <c r="QK94" s="3"/>
      <c r="QL94" s="3"/>
      <c r="QM94" s="3"/>
      <c r="QN94" s="3"/>
      <c r="QO94" s="3"/>
      <c r="QP94" s="3"/>
      <c r="QQ94" s="3"/>
      <c r="QR94" s="3"/>
      <c r="QS94" s="3"/>
      <c r="QT94" s="3"/>
      <c r="QU94" s="3"/>
      <c r="QV94" s="3"/>
      <c r="QW94" s="3"/>
      <c r="QX94" s="3"/>
      <c r="QY94" s="3"/>
      <c r="QZ94" s="3"/>
      <c r="RA94" s="3"/>
      <c r="RB94" s="3"/>
      <c r="RC94" s="3"/>
      <c r="RD94" s="3"/>
      <c r="RE94" s="3"/>
      <c r="RF94" s="3"/>
      <c r="RG94" s="3"/>
      <c r="RH94" s="3"/>
      <c r="RI94" s="3"/>
      <c r="RJ94" s="3"/>
      <c r="RK94" s="3"/>
      <c r="RL94" s="3"/>
      <c r="RM94" s="3"/>
      <c r="RN94" s="3"/>
      <c r="RO94" s="3"/>
      <c r="RP94" s="3"/>
      <c r="RQ94" s="3"/>
      <c r="RR94" s="3"/>
      <c r="RS94" s="3"/>
      <c r="RT94" s="3"/>
      <c r="RU94" s="3"/>
      <c r="RV94" s="3"/>
      <c r="RW94" s="3"/>
      <c r="RX94" s="3"/>
      <c r="RY94" s="3"/>
      <c r="RZ94" s="3"/>
      <c r="SA94" s="3"/>
      <c r="SB94" s="3"/>
      <c r="SC94" s="3"/>
      <c r="SD94" s="3"/>
      <c r="SE94" s="3"/>
      <c r="SF94" s="3"/>
      <c r="SG94" s="3"/>
      <c r="SH94" s="3"/>
      <c r="SI94" s="3"/>
      <c r="SJ94" s="3"/>
      <c r="SK94" s="3"/>
      <c r="SL94" s="3"/>
      <c r="SM94" s="3"/>
      <c r="SN94" s="3"/>
      <c r="SO94" s="3"/>
      <c r="SP94" s="3"/>
      <c r="SQ94" s="3"/>
      <c r="SR94" s="3"/>
      <c r="SS94" s="3"/>
      <c r="ST94" s="3"/>
      <c r="SU94" s="3"/>
      <c r="SV94" s="3"/>
      <c r="SW94" s="3"/>
      <c r="SX94" s="3"/>
      <c r="SY94" s="3"/>
      <c r="SZ94" s="3"/>
      <c r="TA94" s="3"/>
      <c r="TB94" s="3"/>
      <c r="TC94" s="3"/>
      <c r="TD94" s="3"/>
      <c r="TE94" s="3"/>
      <c r="TF94" s="3"/>
      <c r="TG94" s="3"/>
      <c r="TH94" s="3"/>
      <c r="TI94" s="3"/>
      <c r="TJ94" s="3"/>
      <c r="TK94" s="3"/>
      <c r="TL94" s="3"/>
      <c r="TM94" s="3"/>
      <c r="TN94" s="3"/>
      <c r="TO94" s="3"/>
      <c r="TP94" s="3"/>
      <c r="TQ94" s="3"/>
      <c r="TR94" s="3"/>
      <c r="TS94" s="3"/>
      <c r="TT94" s="3"/>
      <c r="TU94" s="3"/>
      <c r="TV94" s="3"/>
      <c r="TW94" s="3"/>
      <c r="TX94" s="3"/>
      <c r="TY94" s="3"/>
      <c r="TZ94" s="3"/>
      <c r="UA94" s="3"/>
      <c r="UB94" s="3"/>
      <c r="UC94" s="3"/>
      <c r="UD94" s="3"/>
      <c r="UE94" s="3"/>
      <c r="UF94" s="3"/>
      <c r="UG94" s="3"/>
      <c r="UH94" s="3"/>
      <c r="UI94" s="3"/>
      <c r="UJ94" s="3"/>
      <c r="UK94" s="3"/>
      <c r="UL94" s="3"/>
      <c r="UM94" s="3"/>
      <c r="UN94" s="3"/>
      <c r="UO94" s="3"/>
      <c r="UP94" s="3"/>
      <c r="UQ94" s="3"/>
      <c r="UR94" s="3"/>
      <c r="US94" s="3"/>
      <c r="UT94" s="3"/>
      <c r="UU94" s="3"/>
      <c r="UV94" s="3"/>
      <c r="UW94" s="3"/>
      <c r="UX94" s="3"/>
      <c r="UY94" s="3"/>
      <c r="UZ94" s="3"/>
      <c r="VA94" s="3"/>
      <c r="VB94" s="3"/>
      <c r="VC94" s="3"/>
      <c r="VD94" s="3"/>
      <c r="VE94" s="3"/>
      <c r="VF94" s="3"/>
      <c r="VG94" s="3"/>
      <c r="VH94" s="3"/>
      <c r="VI94" s="3"/>
      <c r="VJ94" s="3"/>
      <c r="VK94" s="3"/>
      <c r="VL94" s="3"/>
      <c r="VM94" s="3"/>
      <c r="VN94" s="3"/>
      <c r="VO94" s="3"/>
      <c r="VP94" s="3"/>
      <c r="VQ94" s="3"/>
      <c r="VR94" s="3"/>
      <c r="VS94" s="3"/>
      <c r="VT94" s="3"/>
      <c r="VU94" s="3"/>
      <c r="VV94" s="3"/>
      <c r="VW94" s="3"/>
      <c r="VX94" s="3"/>
      <c r="VY94" s="3"/>
      <c r="VZ94" s="3"/>
      <c r="WA94" s="3"/>
      <c r="WB94" s="3"/>
      <c r="WC94" s="3"/>
      <c r="WD94" s="3"/>
      <c r="WE94" s="3"/>
      <c r="WF94" s="3"/>
      <c r="WG94" s="3"/>
      <c r="WH94" s="3"/>
      <c r="WI94" s="3"/>
      <c r="WJ94" s="3"/>
      <c r="WK94" s="3"/>
      <c r="WL94" s="3"/>
      <c r="WM94" s="3"/>
      <c r="WN94" s="3"/>
      <c r="WO94" s="3"/>
      <c r="WP94" s="3"/>
      <c r="WQ94" s="3"/>
      <c r="WR94" s="3"/>
      <c r="WS94" s="3"/>
      <c r="WT94" s="3"/>
      <c r="WU94" s="3"/>
      <c r="WV94" s="3"/>
      <c r="WW94" s="3"/>
      <c r="WX94" s="3"/>
      <c r="WY94" s="3"/>
      <c r="WZ94" s="3"/>
      <c r="XA94" s="3"/>
      <c r="XB94" s="3"/>
      <c r="XC94" s="3"/>
      <c r="XD94" s="3"/>
      <c r="XE94" s="3"/>
      <c r="XF94" s="3"/>
      <c r="XG94" s="3"/>
      <c r="XH94" s="3"/>
      <c r="XI94" s="3"/>
      <c r="XJ94" s="3"/>
      <c r="XK94" s="3"/>
      <c r="XL94" s="3"/>
      <c r="XM94" s="3"/>
      <c r="XN94" s="3"/>
      <c r="XO94" s="3"/>
      <c r="XP94" s="3"/>
      <c r="XQ94" s="3"/>
      <c r="XR94" s="3"/>
      <c r="XS94" s="3"/>
      <c r="XT94" s="3"/>
      <c r="XU94" s="3"/>
      <c r="XV94" s="3"/>
      <c r="XW94" s="3"/>
      <c r="XX94" s="3"/>
      <c r="XY94" s="3"/>
      <c r="XZ94" s="3"/>
      <c r="YA94" s="3"/>
      <c r="YB94" s="3"/>
      <c r="YC94" s="3"/>
      <c r="YD94" s="3"/>
      <c r="YE94" s="3"/>
      <c r="YF94" s="3"/>
      <c r="YG94" s="3"/>
      <c r="YH94" s="3"/>
      <c r="YI94" s="3"/>
      <c r="YJ94" s="3"/>
      <c r="YK94" s="3"/>
      <c r="YL94" s="3"/>
      <c r="YM94" s="3"/>
      <c r="YN94" s="3"/>
      <c r="YO94" s="3"/>
      <c r="YP94" s="3"/>
      <c r="YQ94" s="3"/>
      <c r="YR94" s="3"/>
      <c r="YS94" s="3"/>
      <c r="YT94" s="3"/>
      <c r="YU94" s="3"/>
      <c r="YV94" s="3"/>
      <c r="YW94" s="3"/>
      <c r="YX94" s="3"/>
      <c r="YY94" s="3"/>
      <c r="YZ94" s="3"/>
      <c r="ZA94" s="3"/>
      <c r="ZB94" s="3"/>
      <c r="ZC94" s="3"/>
      <c r="ZD94" s="3"/>
      <c r="ZE94" s="3"/>
      <c r="ZF94" s="3"/>
      <c r="ZG94" s="3"/>
      <c r="ZH94" s="3"/>
      <c r="ZI94" s="3"/>
      <c r="ZJ94" s="3"/>
      <c r="ZK94" s="3"/>
      <c r="ZL94" s="3"/>
      <c r="ZM94" s="3"/>
      <c r="ZN94" s="3"/>
      <c r="ZO94" s="3"/>
      <c r="ZP94" s="3"/>
      <c r="ZQ94" s="3"/>
      <c r="ZR94" s="3"/>
      <c r="ZS94" s="3"/>
      <c r="ZT94" s="3"/>
      <c r="ZU94" s="3"/>
      <c r="ZV94" s="3"/>
      <c r="ZW94" s="3"/>
      <c r="ZX94" s="3"/>
      <c r="ZY94" s="3"/>
      <c r="ZZ94" s="3"/>
      <c r="AAA94" s="3"/>
      <c r="AAB94" s="3"/>
      <c r="AAC94" s="3"/>
      <c r="AAD94" s="3"/>
      <c r="AAE94" s="3"/>
      <c r="AAF94" s="3"/>
      <c r="AAG94" s="3"/>
      <c r="AAH94" s="3"/>
      <c r="AAI94" s="3"/>
      <c r="AAJ94" s="3"/>
      <c r="AAK94" s="3"/>
      <c r="AAL94" s="3"/>
      <c r="AAM94" s="3"/>
      <c r="AAN94" s="3"/>
      <c r="AAO94" s="3"/>
      <c r="AAP94" s="3"/>
      <c r="AAQ94" s="3"/>
      <c r="AAR94" s="3"/>
      <c r="AAS94" s="3"/>
      <c r="AAT94" s="3"/>
      <c r="AAU94" s="3"/>
      <c r="AAV94" s="3"/>
      <c r="AAW94" s="3"/>
      <c r="AAX94" s="3"/>
      <c r="AAY94" s="3"/>
      <c r="AAZ94" s="3"/>
      <c r="ABA94" s="3"/>
      <c r="ABB94" s="3"/>
      <c r="ABC94" s="3"/>
      <c r="ABD94" s="3"/>
      <c r="ABE94" s="3"/>
      <c r="ABF94" s="3"/>
      <c r="ABG94" s="3"/>
      <c r="ABH94" s="3"/>
      <c r="ABI94" s="3"/>
      <c r="ABJ94" s="3"/>
      <c r="ABK94" s="3"/>
      <c r="ABL94" s="3"/>
      <c r="ABM94" s="3"/>
      <c r="ABN94" s="3"/>
      <c r="ABO94" s="3"/>
      <c r="ABP94" s="3"/>
      <c r="ABQ94" s="3"/>
      <c r="ABR94" s="3"/>
      <c r="ABS94" s="3"/>
      <c r="ABT94" s="3"/>
      <c r="ABU94" s="3"/>
      <c r="ABV94" s="3"/>
      <c r="ABW94" s="3"/>
      <c r="ABX94" s="3"/>
      <c r="ABY94" s="3"/>
      <c r="ABZ94" s="3"/>
      <c r="ACA94" s="3"/>
      <c r="ACB94" s="3"/>
      <c r="ACC94" s="3"/>
      <c r="ACD94" s="3"/>
      <c r="ACE94" s="3"/>
      <c r="ACF94" s="3"/>
      <c r="ACG94" s="3"/>
      <c r="ACH94" s="3"/>
      <c r="ACI94" s="3"/>
      <c r="ACJ94" s="3"/>
      <c r="ACK94" s="3"/>
      <c r="ACL94" s="3"/>
      <c r="ACM94" s="3"/>
      <c r="ACN94" s="3"/>
      <c r="ACO94" s="3"/>
      <c r="ACP94" s="3"/>
      <c r="ACQ94" s="3"/>
      <c r="ACR94" s="3"/>
      <c r="ACS94" s="3"/>
      <c r="ACT94" s="3"/>
      <c r="ACU94" s="3"/>
      <c r="ACV94" s="3"/>
      <c r="ACW94" s="3"/>
      <c r="ACX94" s="3"/>
      <c r="ACY94" s="3"/>
      <c r="ACZ94" s="3"/>
      <c r="ADA94" s="3"/>
      <c r="ADB94" s="3"/>
      <c r="ADC94" s="3"/>
      <c r="ADD94" s="3"/>
      <c r="ADE94" s="3"/>
      <c r="ADF94" s="3"/>
      <c r="ADG94" s="3"/>
      <c r="ADH94" s="3"/>
      <c r="ADI94" s="3"/>
      <c r="ADJ94" s="3"/>
      <c r="ADK94" s="3"/>
      <c r="ADL94" s="3"/>
      <c r="ADM94" s="3"/>
      <c r="ADN94" s="3"/>
      <c r="ADO94" s="3"/>
      <c r="ADP94" s="3"/>
      <c r="ADQ94" s="3"/>
      <c r="ADR94" s="3"/>
      <c r="ADS94" s="3"/>
      <c r="ADT94" s="3"/>
      <c r="ADU94" s="3"/>
      <c r="ADV94" s="3"/>
      <c r="ADW94" s="3"/>
      <c r="ADX94" s="3"/>
      <c r="ADY94" s="3"/>
      <c r="ADZ94" s="3"/>
      <c r="AEA94" s="3"/>
      <c r="AEB94" s="3"/>
      <c r="AEC94" s="3"/>
      <c r="AED94" s="3"/>
      <c r="AEE94" s="3"/>
      <c r="AEF94" s="3"/>
      <c r="AEG94" s="3"/>
      <c r="AEH94" s="3"/>
      <c r="AEI94" s="3"/>
      <c r="AEJ94" s="3"/>
      <c r="AEK94" s="3"/>
      <c r="AEL94" s="3"/>
      <c r="AEM94" s="3"/>
      <c r="AEN94" s="3"/>
      <c r="AEO94" s="3"/>
      <c r="AEP94" s="3"/>
      <c r="AEQ94" s="3"/>
      <c r="AER94" s="3"/>
      <c r="AES94" s="3"/>
      <c r="AET94" s="3"/>
      <c r="AEU94" s="3"/>
      <c r="AEV94" s="3"/>
      <c r="AEW94" s="3"/>
      <c r="AEX94" s="3"/>
      <c r="AEY94" s="3"/>
      <c r="AEZ94" s="3"/>
      <c r="AFA94" s="3"/>
      <c r="AFB94" s="3"/>
      <c r="AFC94" s="3"/>
      <c r="AFD94" s="3"/>
      <c r="AFE94" s="3"/>
      <c r="AFF94" s="3"/>
      <c r="AFG94" s="3"/>
      <c r="AFH94" s="3"/>
      <c r="AFI94" s="3"/>
      <c r="AFJ94" s="3"/>
      <c r="AFK94" s="3"/>
      <c r="AFL94" s="3"/>
      <c r="AFM94" s="3"/>
      <c r="AFN94" s="3"/>
      <c r="AFO94" s="3"/>
      <c r="AFP94" s="3"/>
      <c r="AFQ94" s="3"/>
      <c r="AFR94" s="3"/>
      <c r="AFS94" s="3"/>
      <c r="AFT94" s="3"/>
      <c r="AFU94" s="3"/>
      <c r="AFV94" s="3"/>
      <c r="AFW94" s="3"/>
      <c r="AFX94" s="3"/>
      <c r="AFY94" s="3"/>
      <c r="AFZ94" s="3"/>
      <c r="AGA94" s="3"/>
      <c r="AGB94" s="3"/>
      <c r="AGC94" s="3"/>
      <c r="AGD94" s="3"/>
      <c r="AGE94" s="3"/>
      <c r="AGF94" s="3"/>
      <c r="AGG94" s="3"/>
      <c r="AGH94" s="3"/>
      <c r="AGI94" s="3"/>
      <c r="AGJ94" s="3"/>
      <c r="AGK94" s="3"/>
      <c r="AGL94" s="3"/>
      <c r="AGM94" s="3"/>
      <c r="AGN94" s="3"/>
      <c r="AGO94" s="3"/>
      <c r="AGP94" s="3"/>
      <c r="AGQ94" s="3"/>
      <c r="AGR94" s="3"/>
      <c r="AGS94" s="3"/>
      <c r="AGT94" s="3"/>
      <c r="AGU94" s="3"/>
      <c r="AGV94" s="3"/>
      <c r="AGW94" s="3"/>
      <c r="AGX94" s="3"/>
      <c r="AGY94" s="3"/>
      <c r="AGZ94" s="3"/>
      <c r="AHA94" s="3"/>
      <c r="AHB94" s="3"/>
      <c r="AHC94" s="3"/>
      <c r="AHD94" s="3"/>
      <c r="AHE94" s="3"/>
      <c r="AHF94" s="3"/>
      <c r="AHG94" s="3"/>
      <c r="AHH94" s="3"/>
      <c r="AHI94" s="3"/>
      <c r="AHJ94" s="3"/>
      <c r="AHK94" s="3"/>
      <c r="AHL94" s="3"/>
      <c r="AHM94" s="3"/>
      <c r="AHN94" s="3"/>
      <c r="AHO94" s="3"/>
      <c r="AHP94" s="3"/>
      <c r="AHQ94" s="3"/>
      <c r="AHR94" s="3"/>
      <c r="AHS94" s="3"/>
      <c r="AHT94" s="3"/>
      <c r="AHU94" s="3"/>
      <c r="AHV94" s="3"/>
      <c r="AHW94" s="3"/>
      <c r="AHX94" s="3"/>
      <c r="AHY94" s="3"/>
      <c r="AHZ94" s="3"/>
      <c r="AIA94" s="3"/>
      <c r="AIB94" s="3"/>
      <c r="AIC94" s="3"/>
      <c r="AID94" s="3"/>
      <c r="AIE94" s="3"/>
      <c r="AIF94" s="3"/>
      <c r="AIG94" s="3"/>
      <c r="AIH94" s="3"/>
      <c r="AII94" s="3"/>
      <c r="AIJ94" s="3"/>
      <c r="AIK94" s="3"/>
      <c r="AIL94" s="3"/>
      <c r="AIM94" s="3"/>
      <c r="AIN94" s="3"/>
      <c r="AIO94" s="3"/>
      <c r="AIP94" s="3"/>
      <c r="AIQ94" s="3"/>
      <c r="AIR94" s="3"/>
      <c r="AIS94" s="3"/>
      <c r="AIT94" s="3"/>
      <c r="AIU94" s="3"/>
      <c r="AIV94" s="3"/>
      <c r="AIW94" s="3"/>
      <c r="AIX94" s="3"/>
      <c r="AIY94" s="3"/>
      <c r="AIZ94" s="3"/>
      <c r="AJA94" s="3"/>
      <c r="AJB94" s="3"/>
      <c r="AJC94" s="3"/>
      <c r="AJD94" s="3"/>
      <c r="AJE94" s="3"/>
      <c r="AJF94" s="3"/>
      <c r="AJG94" s="3"/>
      <c r="AJH94" s="3"/>
      <c r="AJI94" s="3"/>
      <c r="AJJ94" s="3"/>
      <c r="AJK94" s="3"/>
      <c r="AJL94" s="3"/>
      <c r="AJM94" s="3"/>
      <c r="AJN94" s="3"/>
      <c r="AJO94" s="3"/>
      <c r="AJP94" s="3"/>
      <c r="AJQ94" s="3"/>
      <c r="AJR94" s="3"/>
      <c r="AJS94" s="3"/>
      <c r="AJT94" s="3"/>
      <c r="AJU94" s="3"/>
      <c r="AJV94" s="3"/>
      <c r="AJW94" s="3"/>
      <c r="AJX94" s="3"/>
      <c r="AJY94" s="3"/>
      <c r="AJZ94" s="3"/>
      <c r="AKA94" s="3"/>
      <c r="AKB94" s="3"/>
      <c r="AKC94" s="3"/>
      <c r="AKD94" s="3"/>
      <c r="AKE94" s="3"/>
      <c r="AKF94" s="3"/>
      <c r="AKG94" s="3"/>
      <c r="AKH94" s="3"/>
      <c r="AKI94" s="3"/>
      <c r="AKJ94" s="3"/>
      <c r="AKK94" s="3"/>
      <c r="AKL94" s="3"/>
      <c r="AKM94" s="3"/>
      <c r="AKN94" s="3"/>
      <c r="AKO94" s="3"/>
      <c r="AKP94" s="3"/>
      <c r="AKQ94" s="3"/>
      <c r="AKR94" s="3"/>
      <c r="AKS94" s="3"/>
      <c r="AKT94" s="3"/>
      <c r="AKU94" s="3"/>
      <c r="AKV94" s="3"/>
      <c r="AKW94" s="3"/>
      <c r="AKX94" s="3"/>
      <c r="AKY94" s="3"/>
      <c r="AKZ94" s="3"/>
      <c r="ALA94" s="3"/>
      <c r="ALB94" s="3"/>
      <c r="ALC94" s="3"/>
      <c r="ALD94" s="3"/>
      <c r="ALE94" s="3"/>
      <c r="ALF94" s="3"/>
      <c r="ALG94" s="3"/>
      <c r="ALH94" s="3"/>
      <c r="ALI94" s="3"/>
      <c r="ALJ94" s="3"/>
      <c r="ALK94" s="3"/>
      <c r="ALL94" s="3"/>
      <c r="ALM94" s="3"/>
      <c r="ALN94" s="3"/>
      <c r="ALO94" s="3"/>
      <c r="ALP94" s="3"/>
      <c r="ALQ94" s="3"/>
      <c r="ALR94" s="3"/>
      <c r="ALS94" s="3"/>
      <c r="ALT94" s="3"/>
      <c r="ALU94" s="3"/>
      <c r="ALV94" s="3"/>
      <c r="ALW94" s="3"/>
      <c r="ALX94" s="3"/>
      <c r="ALY94" s="3"/>
      <c r="ALZ94" s="3"/>
      <c r="AMA94" s="3"/>
      <c r="AMB94" s="3"/>
      <c r="AMC94" s="3"/>
      <c r="AMD94" s="3"/>
      <c r="AME94" s="3"/>
      <c r="AMF94" s="3"/>
      <c r="AMG94" s="3"/>
      <c r="AMH94" s="3"/>
      <c r="AMI94" s="3"/>
      <c r="AMJ94" s="3"/>
      <c r="AMK94" s="3"/>
      <c r="AML94" s="3"/>
      <c r="AMM94" s="3"/>
      <c r="AMN94" s="3"/>
      <c r="AMO94" s="3"/>
      <c r="AMP94" s="3"/>
      <c r="AMQ94" s="3"/>
      <c r="AMR94" s="3"/>
      <c r="AMS94" s="3"/>
      <c r="AMT94" s="3"/>
      <c r="AMU94" s="3"/>
      <c r="AMV94" s="3"/>
      <c r="AMW94" s="3"/>
      <c r="AMX94" s="3"/>
      <c r="AMY94" s="3"/>
      <c r="AMZ94" s="3"/>
      <c r="ANA94" s="3"/>
      <c r="ANB94" s="3"/>
      <c r="ANC94" s="3"/>
      <c r="AND94" s="3"/>
      <c r="ANE94" s="3"/>
      <c r="ANF94" s="3"/>
      <c r="ANG94" s="3"/>
      <c r="ANH94" s="3"/>
      <c r="ANI94" s="3"/>
      <c r="ANJ94" s="3"/>
      <c r="ANK94" s="3"/>
      <c r="ANL94" s="3"/>
      <c r="ANM94" s="3"/>
      <c r="ANN94" s="3"/>
      <c r="ANO94" s="3"/>
      <c r="ANP94" s="3"/>
      <c r="ANQ94" s="3"/>
      <c r="ANR94" s="3"/>
      <c r="ANS94" s="3"/>
      <c r="ANT94" s="3"/>
      <c r="ANU94" s="3"/>
      <c r="ANV94" s="3"/>
      <c r="ANW94" s="3"/>
      <c r="ANX94" s="3"/>
      <c r="ANY94" s="3"/>
      <c r="ANZ94" s="3"/>
      <c r="AOA94" s="3"/>
      <c r="AOB94" s="3"/>
      <c r="AOC94" s="3"/>
      <c r="AOD94" s="3"/>
      <c r="AOE94" s="3"/>
      <c r="AOF94" s="3"/>
      <c r="AOG94" s="3"/>
      <c r="AOH94" s="3"/>
      <c r="AOI94" s="3"/>
      <c r="AOJ94" s="3"/>
      <c r="AOK94" s="3"/>
      <c r="AOL94" s="3"/>
      <c r="AOM94" s="3"/>
      <c r="AON94" s="3"/>
      <c r="AOO94" s="3"/>
      <c r="AOP94" s="3"/>
      <c r="AOQ94" s="3"/>
      <c r="AOR94" s="3"/>
      <c r="AOS94" s="3"/>
      <c r="AOT94" s="3"/>
      <c r="AOU94" s="3"/>
      <c r="AOV94" s="3"/>
      <c r="AOW94" s="3"/>
      <c r="AOX94" s="3"/>
      <c r="AOY94" s="3"/>
      <c r="AOZ94" s="3"/>
      <c r="APA94" s="3"/>
      <c r="APB94" s="3"/>
      <c r="APC94" s="3"/>
      <c r="APD94" s="3"/>
      <c r="APE94" s="3"/>
      <c r="APF94" s="3"/>
      <c r="APG94" s="3"/>
      <c r="APH94" s="3"/>
      <c r="API94" s="3"/>
      <c r="APJ94" s="3"/>
      <c r="APK94" s="3"/>
      <c r="APL94" s="3"/>
      <c r="APM94" s="3"/>
      <c r="APN94" s="3"/>
      <c r="APO94" s="3"/>
      <c r="APP94" s="3"/>
      <c r="APQ94" s="3"/>
      <c r="APR94" s="3"/>
      <c r="APS94" s="3"/>
      <c r="APT94" s="3"/>
      <c r="APU94" s="3"/>
      <c r="APV94" s="3"/>
      <c r="APW94" s="3"/>
      <c r="APX94" s="3"/>
      <c r="APY94" s="3"/>
      <c r="APZ94" s="3"/>
      <c r="AQA94" s="3"/>
      <c r="AQB94" s="3"/>
      <c r="AQC94" s="3"/>
      <c r="AQD94" s="3"/>
      <c r="AQE94" s="3"/>
      <c r="AQF94" s="3"/>
      <c r="AQG94" s="3"/>
      <c r="AQH94" s="3"/>
      <c r="AQI94" s="3"/>
      <c r="AQJ94" s="3"/>
      <c r="AQK94" s="3"/>
      <c r="AQL94" s="3"/>
      <c r="AQM94" s="3"/>
      <c r="AQN94" s="3"/>
      <c r="AQO94" s="3"/>
      <c r="AQP94" s="3"/>
      <c r="AQQ94" s="3"/>
      <c r="AQR94" s="3"/>
      <c r="AQS94" s="3"/>
      <c r="AQT94" s="3"/>
      <c r="AQU94" s="3"/>
      <c r="AQV94" s="3"/>
      <c r="AQW94" s="3"/>
      <c r="AQX94" s="3"/>
      <c r="AQY94" s="3"/>
      <c r="AQZ94" s="3"/>
      <c r="ARA94" s="3"/>
      <c r="ARB94" s="3"/>
      <c r="ARC94" s="3"/>
      <c r="ARD94" s="3"/>
      <c r="ARE94" s="3"/>
      <c r="ARF94" s="3"/>
      <c r="ARG94" s="3"/>
      <c r="ARH94" s="3"/>
      <c r="ARI94" s="3"/>
      <c r="ARJ94" s="3"/>
      <c r="ARK94" s="3"/>
      <c r="ARL94" s="3"/>
      <c r="ARM94" s="3"/>
      <c r="ARN94" s="3"/>
      <c r="ARO94" s="3"/>
      <c r="ARP94" s="3"/>
      <c r="ARQ94" s="3"/>
      <c r="ARR94" s="3"/>
      <c r="ARS94" s="3"/>
      <c r="ART94" s="3"/>
      <c r="ARU94" s="3"/>
      <c r="ARV94" s="3"/>
      <c r="ARW94" s="3"/>
      <c r="ARX94" s="3"/>
      <c r="ARY94" s="3"/>
      <c r="ARZ94" s="3"/>
      <c r="ASA94" s="3"/>
      <c r="ASB94" s="3"/>
      <c r="ASC94" s="3"/>
      <c r="ASD94" s="3"/>
      <c r="ASE94" s="3"/>
      <c r="ASF94" s="3"/>
      <c r="ASG94" s="3"/>
      <c r="ASH94" s="3"/>
      <c r="ASI94" s="3"/>
      <c r="ASJ94" s="3"/>
      <c r="ASK94" s="3"/>
      <c r="ASL94" s="3"/>
      <c r="ASM94" s="3"/>
      <c r="ASN94" s="3"/>
      <c r="ASO94" s="3"/>
      <c r="ASP94" s="3"/>
      <c r="ASQ94" s="3"/>
      <c r="ASR94" s="3"/>
      <c r="ASS94" s="3"/>
      <c r="AST94" s="3"/>
      <c r="ASU94" s="3"/>
    </row>
    <row r="95" spans="1:1351" x14ac:dyDescent="0.25">
      <c r="A95" s="26" t="s">
        <v>123</v>
      </c>
      <c r="B95" s="27"/>
      <c r="C95" s="10">
        <f>AVERAGE(logistics!B16:K16)</f>
        <v>1.053818E-4</v>
      </c>
      <c r="D95" s="11">
        <f>AVERAGE(logistics!B45:K45)</f>
        <v>1.4601300000000002E-5</v>
      </c>
      <c r="E95" s="15">
        <f t="shared" si="2"/>
        <v>1.513221445353554</v>
      </c>
      <c r="F95" s="15">
        <f t="shared" si="3"/>
        <v>6.2172888715388348</v>
      </c>
      <c r="G95" s="6" t="s">
        <v>37</v>
      </c>
      <c r="H95" s="18">
        <v>1.7467053085771533</v>
      </c>
      <c r="I95" s="3"/>
      <c r="J95" s="6" t="s">
        <v>37</v>
      </c>
      <c r="K95" s="18">
        <v>13.791882480957563</v>
      </c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  <c r="DK95" s="3"/>
      <c r="DL95" s="3"/>
      <c r="DM95" s="3"/>
      <c r="DN95" s="3"/>
      <c r="DO95" s="3"/>
      <c r="DP95" s="3"/>
      <c r="DQ95" s="3"/>
      <c r="DR95" s="3"/>
      <c r="DS95" s="3"/>
      <c r="DT95" s="3"/>
      <c r="DU95" s="3"/>
      <c r="DV95" s="3"/>
      <c r="DW95" s="3"/>
      <c r="DX95" s="3"/>
      <c r="DY95" s="3"/>
      <c r="DZ95" s="3"/>
      <c r="EA95" s="3"/>
      <c r="EB95" s="3"/>
      <c r="EC95" s="3"/>
      <c r="ED95" s="3"/>
      <c r="EE95" s="3"/>
      <c r="EF95" s="3"/>
      <c r="EG95" s="3"/>
      <c r="EH95" s="3"/>
      <c r="EI95" s="3"/>
      <c r="EJ95" s="3"/>
      <c r="EK95" s="3"/>
      <c r="EL95" s="3"/>
      <c r="EM95" s="3"/>
      <c r="EN95" s="3"/>
      <c r="EO95" s="3"/>
      <c r="EP95" s="3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  <c r="FH95" s="3"/>
      <c r="FI95" s="3"/>
      <c r="FJ95" s="3"/>
      <c r="FK95" s="3"/>
      <c r="FL95" s="3"/>
      <c r="FM95" s="3"/>
      <c r="FN95" s="3"/>
      <c r="FO95" s="3"/>
      <c r="FP95" s="3"/>
      <c r="FQ95" s="3"/>
      <c r="FR95" s="3"/>
      <c r="FS95" s="3"/>
      <c r="FT95" s="3"/>
      <c r="FU95" s="3"/>
      <c r="FV95" s="3"/>
      <c r="FW95" s="3"/>
      <c r="FX95" s="3"/>
      <c r="FY95" s="3"/>
      <c r="FZ95" s="3"/>
      <c r="GA95" s="3"/>
      <c r="GB95" s="3"/>
      <c r="GC95" s="3"/>
      <c r="GD95" s="3"/>
      <c r="GE95" s="3"/>
      <c r="GF95" s="3"/>
      <c r="GG95" s="3"/>
      <c r="GH95" s="3"/>
      <c r="GI95" s="3"/>
      <c r="GJ95" s="3"/>
      <c r="GK95" s="3"/>
      <c r="GL95" s="3"/>
      <c r="GM95" s="3"/>
      <c r="GN95" s="3"/>
      <c r="GO95" s="3"/>
      <c r="GP95" s="3"/>
      <c r="GQ95" s="3"/>
      <c r="GR95" s="3"/>
      <c r="GS95" s="3"/>
      <c r="GT95" s="3"/>
      <c r="GU95" s="3"/>
      <c r="GV95" s="3"/>
      <c r="GW95" s="3"/>
      <c r="GX95" s="3"/>
      <c r="GY95" s="3"/>
      <c r="GZ95" s="3"/>
      <c r="HA95" s="3"/>
      <c r="HB95" s="3"/>
      <c r="HC95" s="3"/>
      <c r="HD95" s="3"/>
      <c r="HE95" s="3"/>
      <c r="HF95" s="3"/>
      <c r="HG95" s="3"/>
      <c r="HH95" s="3"/>
      <c r="HI95" s="3"/>
      <c r="HJ95" s="3"/>
      <c r="HK95" s="3"/>
      <c r="HL95" s="3"/>
      <c r="HM95" s="3"/>
      <c r="HN95" s="3"/>
      <c r="HO95" s="3"/>
      <c r="HP95" s="3"/>
      <c r="HQ95" s="3"/>
      <c r="HR95" s="3"/>
      <c r="HS95" s="3"/>
      <c r="HT95" s="3"/>
      <c r="HU95" s="3"/>
      <c r="HV95" s="3"/>
      <c r="HW95" s="3"/>
      <c r="HX95" s="3"/>
      <c r="HY95" s="3"/>
      <c r="HZ95" s="3"/>
      <c r="IA95" s="3"/>
      <c r="IB95" s="3"/>
      <c r="IC95" s="3"/>
      <c r="ID95" s="3"/>
      <c r="IE95" s="3"/>
      <c r="IF95" s="3"/>
      <c r="IG95" s="3"/>
      <c r="IH95" s="3"/>
      <c r="II95" s="3"/>
      <c r="IJ95" s="3"/>
      <c r="IK95" s="3"/>
      <c r="IL95" s="3"/>
      <c r="IM95" s="3"/>
      <c r="IN95" s="3"/>
      <c r="IO95" s="3"/>
      <c r="IP95" s="3"/>
      <c r="IQ95" s="3"/>
      <c r="IR95" s="3"/>
      <c r="IS95" s="3"/>
      <c r="IT95" s="3"/>
      <c r="IU95" s="3"/>
      <c r="IV95" s="3"/>
      <c r="IW95" s="3"/>
      <c r="IX95" s="3"/>
      <c r="IY95" s="3"/>
      <c r="IZ95" s="3"/>
      <c r="JA95" s="3"/>
      <c r="JB95" s="3"/>
      <c r="JC95" s="3"/>
      <c r="JD95" s="3"/>
      <c r="JE95" s="3"/>
      <c r="JF95" s="3"/>
      <c r="JG95" s="3"/>
      <c r="JH95" s="3"/>
      <c r="JI95" s="3"/>
      <c r="JJ95" s="3"/>
      <c r="JK95" s="3"/>
      <c r="JL95" s="3"/>
      <c r="JM95" s="3"/>
      <c r="JN95" s="3"/>
      <c r="JO95" s="3"/>
      <c r="JP95" s="3"/>
      <c r="JQ95" s="3"/>
      <c r="JR95" s="3"/>
      <c r="JS95" s="3"/>
      <c r="JT95" s="3"/>
      <c r="JU95" s="3"/>
      <c r="JV95" s="3"/>
      <c r="JW95" s="3"/>
      <c r="JX95" s="3"/>
      <c r="JY95" s="3"/>
      <c r="JZ95" s="3"/>
      <c r="KA95" s="3"/>
      <c r="KB95" s="3"/>
      <c r="KC95" s="3"/>
      <c r="KD95" s="3"/>
      <c r="KE95" s="3"/>
      <c r="KF95" s="3"/>
      <c r="KG95" s="3"/>
      <c r="KH95" s="3"/>
      <c r="KI95" s="3"/>
      <c r="KJ95" s="3"/>
      <c r="KK95" s="3"/>
      <c r="KL95" s="3"/>
      <c r="KM95" s="3"/>
      <c r="KN95" s="3"/>
      <c r="KO95" s="3"/>
      <c r="KP95" s="3"/>
      <c r="KQ95" s="3"/>
      <c r="KR95" s="3"/>
      <c r="KS95" s="3"/>
      <c r="KT95" s="3"/>
      <c r="KU95" s="3"/>
      <c r="KV95" s="3"/>
      <c r="KW95" s="3"/>
      <c r="KX95" s="3"/>
      <c r="KY95" s="3"/>
      <c r="KZ95" s="3"/>
      <c r="LA95" s="3"/>
      <c r="LB95" s="3"/>
      <c r="LC95" s="3"/>
      <c r="LD95" s="3"/>
      <c r="LE95" s="3"/>
      <c r="LF95" s="3"/>
      <c r="LG95" s="3"/>
      <c r="LH95" s="3"/>
      <c r="LI95" s="3"/>
      <c r="LJ95" s="3"/>
      <c r="LK95" s="3"/>
      <c r="LL95" s="3"/>
      <c r="LM95" s="3"/>
      <c r="LN95" s="3"/>
      <c r="LO95" s="3"/>
      <c r="LP95" s="3"/>
      <c r="LQ95" s="3"/>
      <c r="LR95" s="3"/>
      <c r="LS95" s="3"/>
      <c r="LT95" s="3"/>
      <c r="LU95" s="3"/>
      <c r="LV95" s="3"/>
      <c r="LW95" s="3"/>
      <c r="LX95" s="3"/>
      <c r="LY95" s="3"/>
      <c r="LZ95" s="3"/>
      <c r="MA95" s="3"/>
      <c r="MB95" s="3"/>
      <c r="MC95" s="3"/>
      <c r="MD95" s="3"/>
      <c r="ME95" s="3"/>
      <c r="MF95" s="3"/>
      <c r="MG95" s="3"/>
      <c r="MH95" s="3"/>
      <c r="MI95" s="3"/>
      <c r="MJ95" s="3"/>
      <c r="MK95" s="3"/>
      <c r="ML95" s="3"/>
      <c r="MM95" s="3"/>
      <c r="MN95" s="3"/>
      <c r="MO95" s="3"/>
      <c r="MP95" s="3"/>
      <c r="MQ95" s="3"/>
      <c r="MR95" s="3"/>
      <c r="MS95" s="3"/>
      <c r="MT95" s="3"/>
      <c r="MU95" s="3"/>
      <c r="MV95" s="3"/>
      <c r="MW95" s="3"/>
      <c r="MX95" s="3"/>
      <c r="MY95" s="3"/>
      <c r="MZ95" s="3"/>
      <c r="NA95" s="3"/>
      <c r="NB95" s="3"/>
      <c r="NC95" s="3"/>
      <c r="ND95" s="3"/>
      <c r="NE95" s="3"/>
      <c r="NF95" s="3"/>
      <c r="NG95" s="3"/>
      <c r="NH95" s="3"/>
      <c r="NI95" s="3"/>
      <c r="NJ95" s="3"/>
      <c r="NK95" s="3"/>
      <c r="NL95" s="3"/>
      <c r="NM95" s="3"/>
      <c r="NN95" s="3"/>
      <c r="NO95" s="3"/>
      <c r="NP95" s="3"/>
      <c r="NQ95" s="3"/>
      <c r="NR95" s="3"/>
      <c r="NS95" s="3"/>
      <c r="NT95" s="3"/>
      <c r="NU95" s="3"/>
      <c r="NV95" s="3"/>
      <c r="NW95" s="3"/>
      <c r="NX95" s="3"/>
      <c r="NY95" s="3"/>
      <c r="NZ95" s="3"/>
      <c r="OA95" s="3"/>
      <c r="OB95" s="3"/>
      <c r="OC95" s="3"/>
      <c r="OD95" s="3"/>
      <c r="OE95" s="3"/>
      <c r="OF95" s="3"/>
      <c r="OG95" s="3"/>
      <c r="OH95" s="3"/>
      <c r="OI95" s="3"/>
      <c r="OJ95" s="3"/>
      <c r="OK95" s="3"/>
      <c r="OL95" s="3"/>
      <c r="OM95" s="3"/>
      <c r="ON95" s="3"/>
      <c r="OO95" s="3"/>
      <c r="OP95" s="3"/>
      <c r="OQ95" s="3"/>
      <c r="OR95" s="3"/>
      <c r="OS95" s="3"/>
      <c r="OT95" s="3"/>
      <c r="OU95" s="3"/>
      <c r="OV95" s="3"/>
      <c r="OW95" s="3"/>
      <c r="OX95" s="3"/>
      <c r="OY95" s="3"/>
      <c r="OZ95" s="3"/>
      <c r="PA95" s="3"/>
      <c r="PB95" s="3"/>
      <c r="PC95" s="3"/>
      <c r="PD95" s="3"/>
      <c r="PE95" s="3"/>
      <c r="PF95" s="3"/>
      <c r="PG95" s="3"/>
      <c r="PH95" s="3"/>
      <c r="PI95" s="3"/>
      <c r="PJ95" s="3"/>
      <c r="PK95" s="3"/>
      <c r="PL95" s="3"/>
      <c r="PM95" s="3"/>
      <c r="PN95" s="3"/>
      <c r="PO95" s="3"/>
      <c r="PP95" s="3"/>
      <c r="PQ95" s="3"/>
      <c r="PR95" s="3"/>
      <c r="PS95" s="3"/>
      <c r="PT95" s="3"/>
      <c r="PU95" s="3"/>
      <c r="PV95" s="3"/>
      <c r="PW95" s="3"/>
      <c r="PX95" s="3"/>
      <c r="PY95" s="3"/>
      <c r="PZ95" s="3"/>
      <c r="QA95" s="3"/>
      <c r="QB95" s="3"/>
      <c r="QC95" s="3"/>
      <c r="QD95" s="3"/>
      <c r="QE95" s="3"/>
      <c r="QF95" s="3"/>
      <c r="QG95" s="3"/>
      <c r="QH95" s="3"/>
      <c r="QI95" s="3"/>
      <c r="QJ95" s="3"/>
      <c r="QK95" s="3"/>
      <c r="QL95" s="3"/>
      <c r="QM95" s="3"/>
      <c r="QN95" s="3"/>
      <c r="QO95" s="3"/>
      <c r="QP95" s="3"/>
      <c r="QQ95" s="3"/>
      <c r="QR95" s="3"/>
      <c r="QS95" s="3"/>
      <c r="QT95" s="3"/>
      <c r="QU95" s="3"/>
      <c r="QV95" s="3"/>
      <c r="QW95" s="3"/>
      <c r="QX95" s="3"/>
      <c r="QY95" s="3"/>
      <c r="QZ95" s="3"/>
      <c r="RA95" s="3"/>
      <c r="RB95" s="3"/>
      <c r="RC95" s="3"/>
      <c r="RD95" s="3"/>
      <c r="RE95" s="3"/>
      <c r="RF95" s="3"/>
      <c r="RG95" s="3"/>
      <c r="RH95" s="3"/>
      <c r="RI95" s="3"/>
      <c r="RJ95" s="3"/>
      <c r="RK95" s="3"/>
      <c r="RL95" s="3"/>
      <c r="RM95" s="3"/>
      <c r="RN95" s="3"/>
      <c r="RO95" s="3"/>
      <c r="RP95" s="3"/>
      <c r="RQ95" s="3"/>
      <c r="RR95" s="3"/>
      <c r="RS95" s="3"/>
      <c r="RT95" s="3"/>
      <c r="RU95" s="3"/>
      <c r="RV95" s="3"/>
      <c r="RW95" s="3"/>
      <c r="RX95" s="3"/>
      <c r="RY95" s="3"/>
      <c r="RZ95" s="3"/>
      <c r="SA95" s="3"/>
      <c r="SB95" s="3"/>
      <c r="SC95" s="3"/>
      <c r="SD95" s="3"/>
      <c r="SE95" s="3"/>
      <c r="SF95" s="3"/>
      <c r="SG95" s="3"/>
      <c r="SH95" s="3"/>
      <c r="SI95" s="3"/>
      <c r="SJ95" s="3"/>
      <c r="SK95" s="3"/>
      <c r="SL95" s="3"/>
      <c r="SM95" s="3"/>
      <c r="SN95" s="3"/>
      <c r="SO95" s="3"/>
      <c r="SP95" s="3"/>
      <c r="SQ95" s="3"/>
      <c r="SR95" s="3"/>
      <c r="SS95" s="3"/>
      <c r="ST95" s="3"/>
      <c r="SU95" s="3"/>
      <c r="SV95" s="3"/>
      <c r="SW95" s="3"/>
      <c r="SX95" s="3"/>
      <c r="SY95" s="3"/>
      <c r="SZ95" s="3"/>
      <c r="TA95" s="3"/>
      <c r="TB95" s="3"/>
      <c r="TC95" s="3"/>
      <c r="TD95" s="3"/>
      <c r="TE95" s="3"/>
      <c r="TF95" s="3"/>
      <c r="TG95" s="3"/>
      <c r="TH95" s="3"/>
      <c r="TI95" s="3"/>
      <c r="TJ95" s="3"/>
      <c r="TK95" s="3"/>
      <c r="TL95" s="3"/>
      <c r="TM95" s="3"/>
      <c r="TN95" s="3"/>
      <c r="TO95" s="3"/>
      <c r="TP95" s="3"/>
      <c r="TQ95" s="3"/>
      <c r="TR95" s="3"/>
      <c r="TS95" s="3"/>
      <c r="TT95" s="3"/>
      <c r="TU95" s="3"/>
      <c r="TV95" s="3"/>
      <c r="TW95" s="3"/>
      <c r="TX95" s="3"/>
      <c r="TY95" s="3"/>
      <c r="TZ95" s="3"/>
      <c r="UA95" s="3"/>
      <c r="UB95" s="3"/>
      <c r="UC95" s="3"/>
      <c r="UD95" s="3"/>
      <c r="UE95" s="3"/>
      <c r="UF95" s="3"/>
      <c r="UG95" s="3"/>
      <c r="UH95" s="3"/>
      <c r="UI95" s="3"/>
      <c r="UJ95" s="3"/>
      <c r="UK95" s="3"/>
      <c r="UL95" s="3"/>
      <c r="UM95" s="3"/>
      <c r="UN95" s="3"/>
      <c r="UO95" s="3"/>
      <c r="UP95" s="3"/>
      <c r="UQ95" s="3"/>
      <c r="UR95" s="3"/>
      <c r="US95" s="3"/>
      <c r="UT95" s="3"/>
      <c r="UU95" s="3"/>
      <c r="UV95" s="3"/>
      <c r="UW95" s="3"/>
      <c r="UX95" s="3"/>
      <c r="UY95" s="3"/>
      <c r="UZ95" s="3"/>
      <c r="VA95" s="3"/>
      <c r="VB95" s="3"/>
      <c r="VC95" s="3"/>
      <c r="VD95" s="3"/>
      <c r="VE95" s="3"/>
      <c r="VF95" s="3"/>
      <c r="VG95" s="3"/>
      <c r="VH95" s="3"/>
      <c r="VI95" s="3"/>
      <c r="VJ95" s="3"/>
      <c r="VK95" s="3"/>
      <c r="VL95" s="3"/>
      <c r="VM95" s="3"/>
      <c r="VN95" s="3"/>
      <c r="VO95" s="3"/>
      <c r="VP95" s="3"/>
      <c r="VQ95" s="3"/>
      <c r="VR95" s="3"/>
      <c r="VS95" s="3"/>
      <c r="VT95" s="3"/>
      <c r="VU95" s="3"/>
      <c r="VV95" s="3"/>
      <c r="VW95" s="3"/>
      <c r="VX95" s="3"/>
      <c r="VY95" s="3"/>
      <c r="VZ95" s="3"/>
      <c r="WA95" s="3"/>
      <c r="WB95" s="3"/>
      <c r="WC95" s="3"/>
      <c r="WD95" s="3"/>
      <c r="WE95" s="3"/>
      <c r="WF95" s="3"/>
      <c r="WG95" s="3"/>
      <c r="WH95" s="3"/>
      <c r="WI95" s="3"/>
      <c r="WJ95" s="3"/>
      <c r="WK95" s="3"/>
      <c r="WL95" s="3"/>
      <c r="WM95" s="3"/>
      <c r="WN95" s="3"/>
      <c r="WO95" s="3"/>
      <c r="WP95" s="3"/>
      <c r="WQ95" s="3"/>
      <c r="WR95" s="3"/>
      <c r="WS95" s="3"/>
      <c r="WT95" s="3"/>
      <c r="WU95" s="3"/>
      <c r="WV95" s="3"/>
      <c r="WW95" s="3"/>
      <c r="WX95" s="3"/>
      <c r="WY95" s="3"/>
      <c r="WZ95" s="3"/>
      <c r="XA95" s="3"/>
      <c r="XB95" s="3"/>
      <c r="XC95" s="3"/>
      <c r="XD95" s="3"/>
      <c r="XE95" s="3"/>
      <c r="XF95" s="3"/>
      <c r="XG95" s="3"/>
      <c r="XH95" s="3"/>
      <c r="XI95" s="3"/>
      <c r="XJ95" s="3"/>
      <c r="XK95" s="3"/>
      <c r="XL95" s="3"/>
      <c r="XM95" s="3"/>
      <c r="XN95" s="3"/>
      <c r="XO95" s="3"/>
      <c r="XP95" s="3"/>
      <c r="XQ95" s="3"/>
      <c r="XR95" s="3"/>
      <c r="XS95" s="3"/>
      <c r="XT95" s="3"/>
      <c r="XU95" s="3"/>
      <c r="XV95" s="3"/>
      <c r="XW95" s="3"/>
      <c r="XX95" s="3"/>
      <c r="XY95" s="3"/>
      <c r="XZ95" s="3"/>
      <c r="YA95" s="3"/>
      <c r="YB95" s="3"/>
      <c r="YC95" s="3"/>
      <c r="YD95" s="3"/>
      <c r="YE95" s="3"/>
      <c r="YF95" s="3"/>
      <c r="YG95" s="3"/>
      <c r="YH95" s="3"/>
      <c r="YI95" s="3"/>
      <c r="YJ95" s="3"/>
      <c r="YK95" s="3"/>
      <c r="YL95" s="3"/>
      <c r="YM95" s="3"/>
      <c r="YN95" s="3"/>
      <c r="YO95" s="3"/>
      <c r="YP95" s="3"/>
      <c r="YQ95" s="3"/>
      <c r="YR95" s="3"/>
      <c r="YS95" s="3"/>
      <c r="YT95" s="3"/>
      <c r="YU95" s="3"/>
      <c r="YV95" s="3"/>
      <c r="YW95" s="3"/>
      <c r="YX95" s="3"/>
      <c r="YY95" s="3"/>
      <c r="YZ95" s="3"/>
      <c r="ZA95" s="3"/>
      <c r="ZB95" s="3"/>
      <c r="ZC95" s="3"/>
      <c r="ZD95" s="3"/>
      <c r="ZE95" s="3"/>
      <c r="ZF95" s="3"/>
      <c r="ZG95" s="3"/>
      <c r="ZH95" s="3"/>
      <c r="ZI95" s="3"/>
      <c r="ZJ95" s="3"/>
      <c r="ZK95" s="3"/>
      <c r="ZL95" s="3"/>
      <c r="ZM95" s="3"/>
      <c r="ZN95" s="3"/>
      <c r="ZO95" s="3"/>
      <c r="ZP95" s="3"/>
      <c r="ZQ95" s="3"/>
      <c r="ZR95" s="3"/>
      <c r="ZS95" s="3"/>
      <c r="ZT95" s="3"/>
      <c r="ZU95" s="3"/>
      <c r="ZV95" s="3"/>
      <c r="ZW95" s="3"/>
      <c r="ZX95" s="3"/>
      <c r="ZY95" s="3"/>
      <c r="ZZ95" s="3"/>
      <c r="AAA95" s="3"/>
      <c r="AAB95" s="3"/>
      <c r="AAC95" s="3"/>
      <c r="AAD95" s="3"/>
      <c r="AAE95" s="3"/>
      <c r="AAF95" s="3"/>
      <c r="AAG95" s="3"/>
      <c r="AAH95" s="3"/>
      <c r="AAI95" s="3"/>
      <c r="AAJ95" s="3"/>
      <c r="AAK95" s="3"/>
      <c r="AAL95" s="3"/>
      <c r="AAM95" s="3"/>
      <c r="AAN95" s="3"/>
      <c r="AAO95" s="3"/>
      <c r="AAP95" s="3"/>
      <c r="AAQ95" s="3"/>
      <c r="AAR95" s="3"/>
      <c r="AAS95" s="3"/>
      <c r="AAT95" s="3"/>
      <c r="AAU95" s="3"/>
      <c r="AAV95" s="3"/>
      <c r="AAW95" s="3"/>
      <c r="AAX95" s="3"/>
      <c r="AAY95" s="3"/>
      <c r="AAZ95" s="3"/>
      <c r="ABA95" s="3"/>
      <c r="ABB95" s="3"/>
      <c r="ABC95" s="3"/>
      <c r="ABD95" s="3"/>
      <c r="ABE95" s="3"/>
      <c r="ABF95" s="3"/>
      <c r="ABG95" s="3"/>
      <c r="ABH95" s="3"/>
      <c r="ABI95" s="3"/>
      <c r="ABJ95" s="3"/>
      <c r="ABK95" s="3"/>
      <c r="ABL95" s="3"/>
      <c r="ABM95" s="3"/>
      <c r="ABN95" s="3"/>
      <c r="ABO95" s="3"/>
      <c r="ABP95" s="3"/>
      <c r="ABQ95" s="3"/>
      <c r="ABR95" s="3"/>
      <c r="ABS95" s="3"/>
      <c r="ABT95" s="3"/>
      <c r="ABU95" s="3"/>
      <c r="ABV95" s="3"/>
      <c r="ABW95" s="3"/>
      <c r="ABX95" s="3"/>
      <c r="ABY95" s="3"/>
      <c r="ABZ95" s="3"/>
      <c r="ACA95" s="3"/>
      <c r="ACB95" s="3"/>
      <c r="ACC95" s="3"/>
      <c r="ACD95" s="3"/>
      <c r="ACE95" s="3"/>
      <c r="ACF95" s="3"/>
      <c r="ACG95" s="3"/>
      <c r="ACH95" s="3"/>
      <c r="ACI95" s="3"/>
      <c r="ACJ95" s="3"/>
      <c r="ACK95" s="3"/>
      <c r="ACL95" s="3"/>
      <c r="ACM95" s="3"/>
      <c r="ACN95" s="3"/>
      <c r="ACO95" s="3"/>
      <c r="ACP95" s="3"/>
      <c r="ACQ95" s="3"/>
      <c r="ACR95" s="3"/>
      <c r="ACS95" s="3"/>
      <c r="ACT95" s="3"/>
      <c r="ACU95" s="3"/>
      <c r="ACV95" s="3"/>
      <c r="ACW95" s="3"/>
      <c r="ACX95" s="3"/>
      <c r="ACY95" s="3"/>
      <c r="ACZ95" s="3"/>
      <c r="ADA95" s="3"/>
      <c r="ADB95" s="3"/>
      <c r="ADC95" s="3"/>
      <c r="ADD95" s="3"/>
      <c r="ADE95" s="3"/>
      <c r="ADF95" s="3"/>
      <c r="ADG95" s="3"/>
      <c r="ADH95" s="3"/>
      <c r="ADI95" s="3"/>
      <c r="ADJ95" s="3"/>
      <c r="ADK95" s="3"/>
      <c r="ADL95" s="3"/>
      <c r="ADM95" s="3"/>
      <c r="ADN95" s="3"/>
      <c r="ADO95" s="3"/>
      <c r="ADP95" s="3"/>
      <c r="ADQ95" s="3"/>
      <c r="ADR95" s="3"/>
      <c r="ADS95" s="3"/>
      <c r="ADT95" s="3"/>
      <c r="ADU95" s="3"/>
      <c r="ADV95" s="3"/>
      <c r="ADW95" s="3"/>
      <c r="ADX95" s="3"/>
      <c r="ADY95" s="3"/>
      <c r="ADZ95" s="3"/>
      <c r="AEA95" s="3"/>
      <c r="AEB95" s="3"/>
      <c r="AEC95" s="3"/>
      <c r="AED95" s="3"/>
      <c r="AEE95" s="3"/>
      <c r="AEF95" s="3"/>
      <c r="AEG95" s="3"/>
      <c r="AEH95" s="3"/>
      <c r="AEI95" s="3"/>
      <c r="AEJ95" s="3"/>
      <c r="AEK95" s="3"/>
      <c r="AEL95" s="3"/>
      <c r="AEM95" s="3"/>
      <c r="AEN95" s="3"/>
      <c r="AEO95" s="3"/>
      <c r="AEP95" s="3"/>
      <c r="AEQ95" s="3"/>
      <c r="AER95" s="3"/>
      <c r="AES95" s="3"/>
      <c r="AET95" s="3"/>
      <c r="AEU95" s="3"/>
      <c r="AEV95" s="3"/>
      <c r="AEW95" s="3"/>
      <c r="AEX95" s="3"/>
      <c r="AEY95" s="3"/>
      <c r="AEZ95" s="3"/>
      <c r="AFA95" s="3"/>
      <c r="AFB95" s="3"/>
      <c r="AFC95" s="3"/>
      <c r="AFD95" s="3"/>
      <c r="AFE95" s="3"/>
      <c r="AFF95" s="3"/>
      <c r="AFG95" s="3"/>
      <c r="AFH95" s="3"/>
      <c r="AFI95" s="3"/>
      <c r="AFJ95" s="3"/>
      <c r="AFK95" s="3"/>
      <c r="AFL95" s="3"/>
      <c r="AFM95" s="3"/>
      <c r="AFN95" s="3"/>
      <c r="AFO95" s="3"/>
      <c r="AFP95" s="3"/>
      <c r="AFQ95" s="3"/>
      <c r="AFR95" s="3"/>
      <c r="AFS95" s="3"/>
      <c r="AFT95" s="3"/>
      <c r="AFU95" s="3"/>
      <c r="AFV95" s="3"/>
      <c r="AFW95" s="3"/>
      <c r="AFX95" s="3"/>
      <c r="AFY95" s="3"/>
      <c r="AFZ95" s="3"/>
      <c r="AGA95" s="3"/>
      <c r="AGB95" s="3"/>
      <c r="AGC95" s="3"/>
      <c r="AGD95" s="3"/>
      <c r="AGE95" s="3"/>
      <c r="AGF95" s="3"/>
      <c r="AGG95" s="3"/>
      <c r="AGH95" s="3"/>
      <c r="AGI95" s="3"/>
      <c r="AGJ95" s="3"/>
      <c r="AGK95" s="3"/>
      <c r="AGL95" s="3"/>
      <c r="AGM95" s="3"/>
      <c r="AGN95" s="3"/>
      <c r="AGO95" s="3"/>
      <c r="AGP95" s="3"/>
      <c r="AGQ95" s="3"/>
      <c r="AGR95" s="3"/>
      <c r="AGS95" s="3"/>
      <c r="AGT95" s="3"/>
      <c r="AGU95" s="3"/>
      <c r="AGV95" s="3"/>
      <c r="AGW95" s="3"/>
      <c r="AGX95" s="3"/>
      <c r="AGY95" s="3"/>
      <c r="AGZ95" s="3"/>
      <c r="AHA95" s="3"/>
      <c r="AHB95" s="3"/>
      <c r="AHC95" s="3"/>
      <c r="AHD95" s="3"/>
      <c r="AHE95" s="3"/>
      <c r="AHF95" s="3"/>
      <c r="AHG95" s="3"/>
      <c r="AHH95" s="3"/>
      <c r="AHI95" s="3"/>
      <c r="AHJ95" s="3"/>
      <c r="AHK95" s="3"/>
      <c r="AHL95" s="3"/>
      <c r="AHM95" s="3"/>
      <c r="AHN95" s="3"/>
      <c r="AHO95" s="3"/>
      <c r="AHP95" s="3"/>
      <c r="AHQ95" s="3"/>
      <c r="AHR95" s="3"/>
      <c r="AHS95" s="3"/>
      <c r="AHT95" s="3"/>
      <c r="AHU95" s="3"/>
      <c r="AHV95" s="3"/>
      <c r="AHW95" s="3"/>
      <c r="AHX95" s="3"/>
      <c r="AHY95" s="3"/>
      <c r="AHZ95" s="3"/>
      <c r="AIA95" s="3"/>
      <c r="AIB95" s="3"/>
      <c r="AIC95" s="3"/>
      <c r="AID95" s="3"/>
      <c r="AIE95" s="3"/>
      <c r="AIF95" s="3"/>
      <c r="AIG95" s="3"/>
      <c r="AIH95" s="3"/>
      <c r="AII95" s="3"/>
      <c r="AIJ95" s="3"/>
      <c r="AIK95" s="3"/>
      <c r="AIL95" s="3"/>
      <c r="AIM95" s="3"/>
      <c r="AIN95" s="3"/>
      <c r="AIO95" s="3"/>
      <c r="AIP95" s="3"/>
      <c r="AIQ95" s="3"/>
      <c r="AIR95" s="3"/>
      <c r="AIS95" s="3"/>
      <c r="AIT95" s="3"/>
      <c r="AIU95" s="3"/>
      <c r="AIV95" s="3"/>
      <c r="AIW95" s="3"/>
      <c r="AIX95" s="3"/>
      <c r="AIY95" s="3"/>
      <c r="AIZ95" s="3"/>
      <c r="AJA95" s="3"/>
      <c r="AJB95" s="3"/>
      <c r="AJC95" s="3"/>
      <c r="AJD95" s="3"/>
      <c r="AJE95" s="3"/>
      <c r="AJF95" s="3"/>
      <c r="AJG95" s="3"/>
      <c r="AJH95" s="3"/>
      <c r="AJI95" s="3"/>
      <c r="AJJ95" s="3"/>
      <c r="AJK95" s="3"/>
      <c r="AJL95" s="3"/>
      <c r="AJM95" s="3"/>
      <c r="AJN95" s="3"/>
      <c r="AJO95" s="3"/>
      <c r="AJP95" s="3"/>
      <c r="AJQ95" s="3"/>
      <c r="AJR95" s="3"/>
      <c r="AJS95" s="3"/>
      <c r="AJT95" s="3"/>
      <c r="AJU95" s="3"/>
      <c r="AJV95" s="3"/>
      <c r="AJW95" s="3"/>
      <c r="AJX95" s="3"/>
      <c r="AJY95" s="3"/>
      <c r="AJZ95" s="3"/>
      <c r="AKA95" s="3"/>
      <c r="AKB95" s="3"/>
      <c r="AKC95" s="3"/>
      <c r="AKD95" s="3"/>
      <c r="AKE95" s="3"/>
      <c r="AKF95" s="3"/>
      <c r="AKG95" s="3"/>
      <c r="AKH95" s="3"/>
      <c r="AKI95" s="3"/>
      <c r="AKJ95" s="3"/>
      <c r="AKK95" s="3"/>
      <c r="AKL95" s="3"/>
      <c r="AKM95" s="3"/>
      <c r="AKN95" s="3"/>
      <c r="AKO95" s="3"/>
      <c r="AKP95" s="3"/>
      <c r="AKQ95" s="3"/>
      <c r="AKR95" s="3"/>
      <c r="AKS95" s="3"/>
      <c r="AKT95" s="3"/>
      <c r="AKU95" s="3"/>
      <c r="AKV95" s="3"/>
      <c r="AKW95" s="3"/>
      <c r="AKX95" s="3"/>
      <c r="AKY95" s="3"/>
      <c r="AKZ95" s="3"/>
      <c r="ALA95" s="3"/>
      <c r="ALB95" s="3"/>
      <c r="ALC95" s="3"/>
      <c r="ALD95" s="3"/>
      <c r="ALE95" s="3"/>
      <c r="ALF95" s="3"/>
      <c r="ALG95" s="3"/>
      <c r="ALH95" s="3"/>
      <c r="ALI95" s="3"/>
      <c r="ALJ95" s="3"/>
      <c r="ALK95" s="3"/>
      <c r="ALL95" s="3"/>
      <c r="ALM95" s="3"/>
      <c r="ALN95" s="3"/>
      <c r="ALO95" s="3"/>
      <c r="ALP95" s="3"/>
      <c r="ALQ95" s="3"/>
      <c r="ALR95" s="3"/>
      <c r="ALS95" s="3"/>
      <c r="ALT95" s="3"/>
      <c r="ALU95" s="3"/>
      <c r="ALV95" s="3"/>
      <c r="ALW95" s="3"/>
      <c r="ALX95" s="3"/>
      <c r="ALY95" s="3"/>
      <c r="ALZ95" s="3"/>
      <c r="AMA95" s="3"/>
      <c r="AMB95" s="3"/>
      <c r="AMC95" s="3"/>
      <c r="AMD95" s="3"/>
      <c r="AME95" s="3"/>
      <c r="AMF95" s="3"/>
      <c r="AMG95" s="3"/>
      <c r="AMH95" s="3"/>
      <c r="AMI95" s="3"/>
      <c r="AMJ95" s="3"/>
      <c r="AMK95" s="3"/>
      <c r="AML95" s="3"/>
      <c r="AMM95" s="3"/>
      <c r="AMN95" s="3"/>
      <c r="AMO95" s="3"/>
      <c r="AMP95" s="3"/>
      <c r="AMQ95" s="3"/>
      <c r="AMR95" s="3"/>
      <c r="AMS95" s="3"/>
      <c r="AMT95" s="3"/>
      <c r="AMU95" s="3"/>
      <c r="AMV95" s="3"/>
      <c r="AMW95" s="3"/>
      <c r="AMX95" s="3"/>
      <c r="AMY95" s="3"/>
      <c r="AMZ95" s="3"/>
      <c r="ANA95" s="3"/>
      <c r="ANB95" s="3"/>
      <c r="ANC95" s="3"/>
      <c r="AND95" s="3"/>
      <c r="ANE95" s="3"/>
      <c r="ANF95" s="3"/>
      <c r="ANG95" s="3"/>
      <c r="ANH95" s="3"/>
      <c r="ANI95" s="3"/>
      <c r="ANJ95" s="3"/>
      <c r="ANK95" s="3"/>
      <c r="ANL95" s="3"/>
      <c r="ANM95" s="3"/>
      <c r="ANN95" s="3"/>
      <c r="ANO95" s="3"/>
      <c r="ANP95" s="3"/>
      <c r="ANQ95" s="3"/>
      <c r="ANR95" s="3"/>
      <c r="ANS95" s="3"/>
      <c r="ANT95" s="3"/>
      <c r="ANU95" s="3"/>
      <c r="ANV95" s="3"/>
      <c r="ANW95" s="3"/>
      <c r="ANX95" s="3"/>
      <c r="ANY95" s="3"/>
      <c r="ANZ95" s="3"/>
      <c r="AOA95" s="3"/>
      <c r="AOB95" s="3"/>
      <c r="AOC95" s="3"/>
      <c r="AOD95" s="3"/>
      <c r="AOE95" s="3"/>
      <c r="AOF95" s="3"/>
      <c r="AOG95" s="3"/>
      <c r="AOH95" s="3"/>
      <c r="AOI95" s="3"/>
      <c r="AOJ95" s="3"/>
      <c r="AOK95" s="3"/>
      <c r="AOL95" s="3"/>
      <c r="AOM95" s="3"/>
      <c r="AON95" s="3"/>
      <c r="AOO95" s="3"/>
      <c r="AOP95" s="3"/>
      <c r="AOQ95" s="3"/>
      <c r="AOR95" s="3"/>
      <c r="AOS95" s="3"/>
      <c r="AOT95" s="3"/>
      <c r="AOU95" s="3"/>
      <c r="AOV95" s="3"/>
      <c r="AOW95" s="3"/>
      <c r="AOX95" s="3"/>
      <c r="AOY95" s="3"/>
      <c r="AOZ95" s="3"/>
      <c r="APA95" s="3"/>
      <c r="APB95" s="3"/>
      <c r="APC95" s="3"/>
      <c r="APD95" s="3"/>
      <c r="APE95" s="3"/>
      <c r="APF95" s="3"/>
      <c r="APG95" s="3"/>
      <c r="APH95" s="3"/>
      <c r="API95" s="3"/>
      <c r="APJ95" s="3"/>
      <c r="APK95" s="3"/>
      <c r="APL95" s="3"/>
      <c r="APM95" s="3"/>
      <c r="APN95" s="3"/>
      <c r="APO95" s="3"/>
      <c r="APP95" s="3"/>
      <c r="APQ95" s="3"/>
      <c r="APR95" s="3"/>
      <c r="APS95" s="3"/>
      <c r="APT95" s="3"/>
      <c r="APU95" s="3"/>
      <c r="APV95" s="3"/>
      <c r="APW95" s="3"/>
      <c r="APX95" s="3"/>
      <c r="APY95" s="3"/>
      <c r="APZ95" s="3"/>
      <c r="AQA95" s="3"/>
      <c r="AQB95" s="3"/>
      <c r="AQC95" s="3"/>
      <c r="AQD95" s="3"/>
      <c r="AQE95" s="3"/>
      <c r="AQF95" s="3"/>
      <c r="AQG95" s="3"/>
      <c r="AQH95" s="3"/>
      <c r="AQI95" s="3"/>
      <c r="AQJ95" s="3"/>
      <c r="AQK95" s="3"/>
      <c r="AQL95" s="3"/>
      <c r="AQM95" s="3"/>
      <c r="AQN95" s="3"/>
      <c r="AQO95" s="3"/>
      <c r="AQP95" s="3"/>
      <c r="AQQ95" s="3"/>
      <c r="AQR95" s="3"/>
      <c r="AQS95" s="3"/>
      <c r="AQT95" s="3"/>
      <c r="AQU95" s="3"/>
      <c r="AQV95" s="3"/>
      <c r="AQW95" s="3"/>
      <c r="AQX95" s="3"/>
      <c r="AQY95" s="3"/>
      <c r="AQZ95" s="3"/>
      <c r="ARA95" s="3"/>
      <c r="ARB95" s="3"/>
      <c r="ARC95" s="3"/>
      <c r="ARD95" s="3"/>
      <c r="ARE95" s="3"/>
      <c r="ARF95" s="3"/>
      <c r="ARG95" s="3"/>
      <c r="ARH95" s="3"/>
      <c r="ARI95" s="3"/>
      <c r="ARJ95" s="3"/>
      <c r="ARK95" s="3"/>
      <c r="ARL95" s="3"/>
      <c r="ARM95" s="3"/>
      <c r="ARN95" s="3"/>
      <c r="ARO95" s="3"/>
      <c r="ARP95" s="3"/>
      <c r="ARQ95" s="3"/>
      <c r="ARR95" s="3"/>
      <c r="ARS95" s="3"/>
      <c r="ART95" s="3"/>
      <c r="ARU95" s="3"/>
      <c r="ARV95" s="3"/>
      <c r="ARW95" s="3"/>
      <c r="ARX95" s="3"/>
      <c r="ARY95" s="3"/>
      <c r="ARZ95" s="3"/>
      <c r="ASA95" s="3"/>
      <c r="ASB95" s="3"/>
      <c r="ASC95" s="3"/>
      <c r="ASD95" s="3"/>
      <c r="ASE95" s="3"/>
      <c r="ASF95" s="3"/>
      <c r="ASG95" s="3"/>
      <c r="ASH95" s="3"/>
      <c r="ASI95" s="3"/>
      <c r="ASJ95" s="3"/>
      <c r="ASK95" s="3"/>
      <c r="ASL95" s="3"/>
      <c r="ASM95" s="3"/>
      <c r="ASN95" s="3"/>
      <c r="ASO95" s="3"/>
      <c r="ASP95" s="3"/>
      <c r="ASQ95" s="3"/>
      <c r="ASR95" s="3"/>
      <c r="ASS95" s="3"/>
      <c r="AST95" s="3"/>
      <c r="ASU95" s="3"/>
      <c r="ASV95" s="3"/>
      <c r="ASW95" s="3"/>
      <c r="ASX95" s="3"/>
      <c r="ASY95" s="3"/>
      <c r="ASZ95" s="3"/>
      <c r="ATA95" s="3"/>
      <c r="ATB95" s="3"/>
      <c r="ATC95" s="3"/>
      <c r="ATD95" s="3"/>
      <c r="ATE95" s="3"/>
      <c r="ATF95" s="3"/>
      <c r="ATG95" s="3"/>
      <c r="ATH95" s="3"/>
      <c r="ATI95" s="3"/>
      <c r="ATJ95" s="3"/>
      <c r="ATK95" s="3"/>
      <c r="ATL95" s="3"/>
      <c r="ATM95" s="3"/>
      <c r="ATN95" s="3"/>
      <c r="ATO95" s="3"/>
      <c r="ATP95" s="3"/>
      <c r="ATQ95" s="3"/>
      <c r="ATR95" s="3"/>
      <c r="ATS95" s="3"/>
      <c r="ATT95" s="3"/>
      <c r="ATU95" s="3"/>
      <c r="ATV95" s="3"/>
      <c r="ATW95" s="3"/>
      <c r="ATX95" s="3"/>
      <c r="ATY95" s="3"/>
      <c r="ATZ95" s="3"/>
      <c r="AUA95" s="3"/>
      <c r="AUB95" s="3"/>
      <c r="AUC95" s="3"/>
      <c r="AUD95" s="3"/>
      <c r="AUE95" s="3"/>
      <c r="AUF95" s="3"/>
      <c r="AUG95" s="3"/>
      <c r="AUH95" s="3"/>
      <c r="AUI95" s="3"/>
      <c r="AUJ95" s="3"/>
      <c r="AUK95" s="3"/>
      <c r="AUL95" s="3"/>
      <c r="AUM95" s="3"/>
      <c r="AUN95" s="3"/>
      <c r="AUO95" s="3"/>
      <c r="AUP95" s="3"/>
      <c r="AUQ95" s="3"/>
      <c r="AUR95" s="3"/>
      <c r="AUS95" s="3"/>
      <c r="AUT95" s="3"/>
      <c r="AUU95" s="3"/>
      <c r="AUV95" s="3"/>
      <c r="AUW95" s="3"/>
      <c r="AUX95" s="3"/>
      <c r="AUY95" s="3"/>
      <c r="AUZ95" s="3"/>
      <c r="AVA95" s="3"/>
      <c r="AVB95" s="3"/>
      <c r="AVC95" s="3"/>
      <c r="AVD95" s="3"/>
      <c r="AVE95" s="3"/>
      <c r="AVF95" s="3"/>
      <c r="AVG95" s="3"/>
      <c r="AVH95" s="3"/>
      <c r="AVI95" s="3"/>
      <c r="AVJ95" s="3"/>
      <c r="AVK95" s="3"/>
      <c r="AVL95" s="3"/>
      <c r="AVM95" s="3"/>
      <c r="AVN95" s="3"/>
      <c r="AVO95" s="3"/>
      <c r="AVP95" s="3"/>
      <c r="AVQ95" s="3"/>
      <c r="AVR95" s="3"/>
      <c r="AVS95" s="3"/>
      <c r="AVT95" s="3"/>
      <c r="AVU95" s="3"/>
      <c r="AVV95" s="3"/>
      <c r="AVW95" s="3"/>
    </row>
    <row r="96" spans="1:1351" x14ac:dyDescent="0.25">
      <c r="A96" s="26" t="s">
        <v>124</v>
      </c>
      <c r="B96" s="27"/>
      <c r="C96" s="10">
        <f>AVERAGE(logistics!B17:K17)</f>
        <v>1.5151839999999998E-4</v>
      </c>
      <c r="D96" s="11">
        <f>AVERAGE(logistics!B46:K46)</f>
        <v>2.0805700000000003E-5</v>
      </c>
      <c r="E96" s="15">
        <f t="shared" si="2"/>
        <v>1.5170565231444699</v>
      </c>
      <c r="F96" s="15">
        <f t="shared" si="3"/>
        <v>6.2825427647231269</v>
      </c>
      <c r="G96" s="6" t="s">
        <v>44</v>
      </c>
      <c r="H96" s="18">
        <v>1.7564359074529106</v>
      </c>
      <c r="I96" s="3"/>
      <c r="J96" s="6" t="s">
        <v>44</v>
      </c>
      <c r="K96" s="18">
        <v>14.422782020821312</v>
      </c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  <c r="DK96" s="3"/>
      <c r="DL96" s="3"/>
      <c r="DM96" s="3"/>
      <c r="DN96" s="3"/>
      <c r="DO96" s="3"/>
      <c r="DP96" s="3"/>
      <c r="DQ96" s="3"/>
      <c r="DR96" s="3"/>
      <c r="DS96" s="3"/>
      <c r="DT96" s="3"/>
      <c r="DU96" s="3"/>
      <c r="DV96" s="3"/>
      <c r="DW96" s="3"/>
      <c r="DX96" s="3"/>
      <c r="DY96" s="3"/>
      <c r="DZ96" s="3"/>
      <c r="EA96" s="3"/>
      <c r="EB96" s="3"/>
      <c r="EC96" s="3"/>
      <c r="ED96" s="3"/>
      <c r="EE96" s="3"/>
      <c r="EF96" s="3"/>
      <c r="EG96" s="3"/>
      <c r="EH96" s="3"/>
      <c r="EI96" s="3"/>
      <c r="EJ96" s="3"/>
      <c r="EK96" s="3"/>
      <c r="EL96" s="3"/>
      <c r="EM96" s="3"/>
      <c r="EN96" s="3"/>
      <c r="EO96" s="3"/>
      <c r="EP96" s="3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  <c r="FH96" s="3"/>
      <c r="FI96" s="3"/>
      <c r="FJ96" s="3"/>
      <c r="FK96" s="3"/>
      <c r="FL96" s="3"/>
      <c r="FM96" s="3"/>
      <c r="FN96" s="3"/>
      <c r="FO96" s="3"/>
      <c r="FP96" s="3"/>
      <c r="FQ96" s="3"/>
      <c r="FR96" s="3"/>
      <c r="FS96" s="3"/>
      <c r="FT96" s="3"/>
      <c r="FU96" s="3"/>
      <c r="FV96" s="3"/>
      <c r="FW96" s="3"/>
      <c r="FX96" s="3"/>
      <c r="FY96" s="3"/>
      <c r="FZ96" s="3"/>
      <c r="GA96" s="3"/>
      <c r="GB96" s="3"/>
      <c r="GC96" s="3"/>
      <c r="GD96" s="3"/>
      <c r="GE96" s="3"/>
      <c r="GF96" s="3"/>
      <c r="GG96" s="3"/>
      <c r="GH96" s="3"/>
      <c r="GI96" s="3"/>
      <c r="GJ96" s="3"/>
      <c r="GK96" s="3"/>
      <c r="GL96" s="3"/>
      <c r="GM96" s="3"/>
      <c r="GN96" s="3"/>
      <c r="GO96" s="3"/>
      <c r="GP96" s="3"/>
      <c r="GQ96" s="3"/>
      <c r="GR96" s="3"/>
      <c r="GS96" s="3"/>
      <c r="GT96" s="3"/>
      <c r="GU96" s="3"/>
      <c r="GV96" s="3"/>
      <c r="GW96" s="3"/>
      <c r="GX96" s="3"/>
      <c r="GY96" s="3"/>
      <c r="GZ96" s="3"/>
      <c r="HA96" s="3"/>
      <c r="HB96" s="3"/>
      <c r="HC96" s="3"/>
      <c r="HD96" s="3"/>
      <c r="HE96" s="3"/>
      <c r="HF96" s="3"/>
      <c r="HG96" s="3"/>
      <c r="HH96" s="3"/>
      <c r="HI96" s="3"/>
      <c r="HJ96" s="3"/>
      <c r="HK96" s="3"/>
      <c r="HL96" s="3"/>
      <c r="HM96" s="3"/>
      <c r="HN96" s="3"/>
      <c r="HO96" s="3"/>
      <c r="HP96" s="3"/>
      <c r="HQ96" s="3"/>
      <c r="HR96" s="3"/>
      <c r="HS96" s="3"/>
      <c r="HT96" s="3"/>
      <c r="HU96" s="3"/>
      <c r="HV96" s="3"/>
      <c r="HW96" s="3"/>
      <c r="HX96" s="3"/>
      <c r="HY96" s="3"/>
      <c r="HZ96" s="3"/>
      <c r="IA96" s="3"/>
      <c r="IB96" s="3"/>
      <c r="IC96" s="3"/>
      <c r="ID96" s="3"/>
      <c r="IE96" s="3"/>
      <c r="IF96" s="3"/>
      <c r="IG96" s="3"/>
      <c r="IH96" s="3"/>
      <c r="II96" s="3"/>
      <c r="IJ96" s="3"/>
      <c r="IK96" s="3"/>
      <c r="IL96" s="3"/>
      <c r="IM96" s="3"/>
      <c r="IN96" s="3"/>
      <c r="IO96" s="3"/>
      <c r="IP96" s="3"/>
      <c r="IQ96" s="3"/>
      <c r="IR96" s="3"/>
      <c r="IS96" s="3"/>
      <c r="IT96" s="3"/>
      <c r="IU96" s="3"/>
      <c r="IV96" s="3"/>
      <c r="IW96" s="3"/>
      <c r="IX96" s="3"/>
      <c r="IY96" s="3"/>
      <c r="IZ96" s="3"/>
      <c r="JA96" s="3"/>
      <c r="JB96" s="3"/>
      <c r="JC96" s="3"/>
      <c r="JD96" s="3"/>
      <c r="JE96" s="3"/>
      <c r="JF96" s="3"/>
      <c r="JG96" s="3"/>
      <c r="JH96" s="3"/>
      <c r="JI96" s="3"/>
      <c r="JJ96" s="3"/>
      <c r="JK96" s="3"/>
      <c r="JL96" s="3"/>
      <c r="JM96" s="3"/>
      <c r="JN96" s="3"/>
      <c r="JO96" s="3"/>
      <c r="JP96" s="3"/>
      <c r="JQ96" s="3"/>
      <c r="JR96" s="3"/>
      <c r="JS96" s="3"/>
      <c r="JT96" s="3"/>
      <c r="JU96" s="3"/>
      <c r="JV96" s="3"/>
      <c r="JW96" s="3"/>
      <c r="JX96" s="3"/>
      <c r="JY96" s="3"/>
      <c r="JZ96" s="3"/>
      <c r="KA96" s="3"/>
      <c r="KB96" s="3"/>
      <c r="KC96" s="3"/>
      <c r="KD96" s="3"/>
      <c r="KE96" s="3"/>
      <c r="KF96" s="3"/>
      <c r="KG96" s="3"/>
      <c r="KH96" s="3"/>
      <c r="KI96" s="3"/>
      <c r="KJ96" s="3"/>
      <c r="KK96" s="3"/>
      <c r="KL96" s="3"/>
      <c r="KM96" s="3"/>
      <c r="KN96" s="3"/>
      <c r="KO96" s="3"/>
      <c r="KP96" s="3"/>
      <c r="KQ96" s="3"/>
      <c r="KR96" s="3"/>
      <c r="KS96" s="3"/>
      <c r="KT96" s="3"/>
      <c r="KU96" s="3"/>
      <c r="KV96" s="3"/>
      <c r="KW96" s="3"/>
      <c r="KX96" s="3"/>
      <c r="KY96" s="3"/>
      <c r="KZ96" s="3"/>
      <c r="LA96" s="3"/>
      <c r="LB96" s="3"/>
      <c r="LC96" s="3"/>
      <c r="LD96" s="3"/>
      <c r="LE96" s="3"/>
      <c r="LF96" s="3"/>
      <c r="LG96" s="3"/>
      <c r="LH96" s="3"/>
      <c r="LI96" s="3"/>
      <c r="LJ96" s="3"/>
      <c r="LK96" s="3"/>
      <c r="LL96" s="3"/>
      <c r="LM96" s="3"/>
      <c r="LN96" s="3"/>
      <c r="LO96" s="3"/>
      <c r="LP96" s="3"/>
      <c r="LQ96" s="3"/>
      <c r="LR96" s="3"/>
      <c r="LS96" s="3"/>
      <c r="LT96" s="3"/>
      <c r="LU96" s="3"/>
      <c r="LV96" s="3"/>
      <c r="LW96" s="3"/>
      <c r="LX96" s="3"/>
      <c r="LY96" s="3"/>
      <c r="LZ96" s="3"/>
      <c r="MA96" s="3"/>
      <c r="MB96" s="3"/>
      <c r="MC96" s="3"/>
      <c r="MD96" s="3"/>
      <c r="ME96" s="3"/>
      <c r="MF96" s="3"/>
      <c r="MG96" s="3"/>
      <c r="MH96" s="3"/>
      <c r="MI96" s="3"/>
      <c r="MJ96" s="3"/>
      <c r="MK96" s="3"/>
      <c r="ML96" s="3"/>
      <c r="MM96" s="3"/>
      <c r="MN96" s="3"/>
      <c r="MO96" s="3"/>
      <c r="MP96" s="3"/>
      <c r="MQ96" s="3"/>
      <c r="MR96" s="3"/>
      <c r="MS96" s="3"/>
      <c r="MT96" s="3"/>
      <c r="MU96" s="3"/>
      <c r="MV96" s="3"/>
      <c r="MW96" s="3"/>
      <c r="MX96" s="3"/>
      <c r="MY96" s="3"/>
      <c r="MZ96" s="3"/>
      <c r="NA96" s="3"/>
      <c r="NB96" s="3"/>
      <c r="NC96" s="3"/>
      <c r="ND96" s="3"/>
      <c r="NE96" s="3"/>
      <c r="NF96" s="3"/>
      <c r="NG96" s="3"/>
      <c r="NH96" s="3"/>
      <c r="NI96" s="3"/>
      <c r="NJ96" s="3"/>
      <c r="NK96" s="3"/>
      <c r="NL96" s="3"/>
      <c r="NM96" s="3"/>
      <c r="NN96" s="3"/>
      <c r="NO96" s="3"/>
      <c r="NP96" s="3"/>
      <c r="NQ96" s="3"/>
      <c r="NR96" s="3"/>
      <c r="NS96" s="3"/>
      <c r="NT96" s="3"/>
      <c r="NU96" s="3"/>
      <c r="NV96" s="3"/>
      <c r="NW96" s="3"/>
      <c r="NX96" s="3"/>
      <c r="NY96" s="3"/>
      <c r="NZ96" s="3"/>
      <c r="OA96" s="3"/>
      <c r="OB96" s="3"/>
      <c r="OC96" s="3"/>
      <c r="OD96" s="3"/>
      <c r="OE96" s="3"/>
      <c r="OF96" s="3"/>
      <c r="OG96" s="3"/>
      <c r="OH96" s="3"/>
      <c r="OI96" s="3"/>
      <c r="OJ96" s="3"/>
      <c r="OK96" s="3"/>
      <c r="OL96" s="3"/>
      <c r="OM96" s="3"/>
      <c r="ON96" s="3"/>
      <c r="OO96" s="3"/>
      <c r="OP96" s="3"/>
      <c r="OQ96" s="3"/>
      <c r="OR96" s="3"/>
      <c r="OS96" s="3"/>
      <c r="OT96" s="3"/>
      <c r="OU96" s="3"/>
      <c r="OV96" s="3"/>
      <c r="OW96" s="3"/>
      <c r="OX96" s="3"/>
      <c r="OY96" s="3"/>
      <c r="OZ96" s="3"/>
      <c r="PA96" s="3"/>
      <c r="PB96" s="3"/>
      <c r="PC96" s="3"/>
      <c r="PD96" s="3"/>
      <c r="PE96" s="3"/>
      <c r="PF96" s="3"/>
      <c r="PG96" s="3"/>
      <c r="PH96" s="3"/>
      <c r="PI96" s="3"/>
      <c r="PJ96" s="3"/>
      <c r="PK96" s="3"/>
      <c r="PL96" s="3"/>
      <c r="PM96" s="3"/>
      <c r="PN96" s="3"/>
      <c r="PO96" s="3"/>
      <c r="PP96" s="3"/>
      <c r="PQ96" s="3"/>
      <c r="PR96" s="3"/>
      <c r="PS96" s="3"/>
      <c r="PT96" s="3"/>
      <c r="PU96" s="3"/>
      <c r="PV96" s="3"/>
      <c r="PW96" s="3"/>
      <c r="PX96" s="3"/>
      <c r="PY96" s="3"/>
      <c r="PZ96" s="3"/>
      <c r="QA96" s="3"/>
      <c r="QB96" s="3"/>
      <c r="QC96" s="3"/>
      <c r="QD96" s="3"/>
      <c r="QE96" s="3"/>
      <c r="QF96" s="3"/>
      <c r="QG96" s="3"/>
      <c r="QH96" s="3"/>
      <c r="QI96" s="3"/>
      <c r="QJ96" s="3"/>
      <c r="QK96" s="3"/>
      <c r="QL96" s="3"/>
      <c r="QM96" s="3"/>
      <c r="QN96" s="3"/>
      <c r="QO96" s="3"/>
      <c r="QP96" s="3"/>
      <c r="QQ96" s="3"/>
      <c r="QR96" s="3"/>
      <c r="QS96" s="3"/>
      <c r="QT96" s="3"/>
      <c r="QU96" s="3"/>
      <c r="QV96" s="3"/>
      <c r="QW96" s="3"/>
      <c r="QX96" s="3"/>
      <c r="QY96" s="3"/>
      <c r="QZ96" s="3"/>
      <c r="RA96" s="3"/>
      <c r="RB96" s="3"/>
      <c r="RC96" s="3"/>
      <c r="RD96" s="3"/>
      <c r="RE96" s="3"/>
      <c r="RF96" s="3"/>
      <c r="RG96" s="3"/>
      <c r="RH96" s="3"/>
      <c r="RI96" s="3"/>
      <c r="RJ96" s="3"/>
      <c r="RK96" s="3"/>
      <c r="RL96" s="3"/>
      <c r="RM96" s="3"/>
      <c r="RN96" s="3"/>
      <c r="RO96" s="3"/>
      <c r="RP96" s="3"/>
      <c r="RQ96" s="3"/>
      <c r="RR96" s="3"/>
      <c r="RS96" s="3"/>
      <c r="RT96" s="3"/>
      <c r="RU96" s="3"/>
      <c r="RV96" s="3"/>
      <c r="RW96" s="3"/>
      <c r="RX96" s="3"/>
      <c r="RY96" s="3"/>
      <c r="RZ96" s="3"/>
      <c r="SA96" s="3"/>
      <c r="SB96" s="3"/>
      <c r="SC96" s="3"/>
      <c r="SD96" s="3"/>
      <c r="SE96" s="3"/>
      <c r="SF96" s="3"/>
      <c r="SG96" s="3"/>
      <c r="SH96" s="3"/>
      <c r="SI96" s="3"/>
      <c r="SJ96" s="3"/>
      <c r="SK96" s="3"/>
      <c r="SL96" s="3"/>
      <c r="SM96" s="3"/>
      <c r="SN96" s="3"/>
      <c r="SO96" s="3"/>
      <c r="SP96" s="3"/>
      <c r="SQ96" s="3"/>
      <c r="SR96" s="3"/>
      <c r="SS96" s="3"/>
      <c r="ST96" s="3"/>
      <c r="SU96" s="3"/>
      <c r="SV96" s="3"/>
      <c r="SW96" s="3"/>
      <c r="SX96" s="3"/>
      <c r="SY96" s="3"/>
      <c r="SZ96" s="3"/>
      <c r="TA96" s="3"/>
      <c r="TB96" s="3"/>
      <c r="TC96" s="3"/>
      <c r="TD96" s="3"/>
      <c r="TE96" s="3"/>
      <c r="TF96" s="3"/>
      <c r="TG96" s="3"/>
      <c r="TH96" s="3"/>
      <c r="TI96" s="3"/>
      <c r="TJ96" s="3"/>
      <c r="TK96" s="3"/>
      <c r="TL96" s="3"/>
      <c r="TM96" s="3"/>
      <c r="TN96" s="3"/>
      <c r="TO96" s="3"/>
      <c r="TP96" s="3"/>
      <c r="TQ96" s="3"/>
      <c r="TR96" s="3"/>
      <c r="TS96" s="3"/>
      <c r="TT96" s="3"/>
      <c r="TU96" s="3"/>
      <c r="TV96" s="3"/>
      <c r="TW96" s="3"/>
      <c r="TX96" s="3"/>
      <c r="TY96" s="3"/>
      <c r="TZ96" s="3"/>
      <c r="UA96" s="3"/>
      <c r="UB96" s="3"/>
      <c r="UC96" s="3"/>
      <c r="UD96" s="3"/>
      <c r="UE96" s="3"/>
      <c r="UF96" s="3"/>
      <c r="UG96" s="3"/>
      <c r="UH96" s="3"/>
      <c r="UI96" s="3"/>
      <c r="UJ96" s="3"/>
      <c r="UK96" s="3"/>
      <c r="UL96" s="3"/>
      <c r="UM96" s="3"/>
      <c r="UN96" s="3"/>
      <c r="UO96" s="3"/>
      <c r="UP96" s="3"/>
      <c r="UQ96" s="3"/>
      <c r="UR96" s="3"/>
      <c r="US96" s="3"/>
      <c r="UT96" s="3"/>
      <c r="UU96" s="3"/>
      <c r="UV96" s="3"/>
      <c r="UW96" s="3"/>
      <c r="UX96" s="3"/>
      <c r="UY96" s="3"/>
      <c r="UZ96" s="3"/>
      <c r="VA96" s="3"/>
      <c r="VB96" s="3"/>
      <c r="VC96" s="3"/>
      <c r="VD96" s="3"/>
      <c r="VE96" s="3"/>
      <c r="VF96" s="3"/>
      <c r="VG96" s="3"/>
      <c r="VH96" s="3"/>
      <c r="VI96" s="3"/>
      <c r="VJ96" s="3"/>
      <c r="VK96" s="3"/>
      <c r="VL96" s="3"/>
      <c r="VM96" s="3"/>
      <c r="VN96" s="3"/>
      <c r="VO96" s="3"/>
      <c r="VP96" s="3"/>
      <c r="VQ96" s="3"/>
      <c r="VR96" s="3"/>
      <c r="VS96" s="3"/>
      <c r="VT96" s="3"/>
      <c r="VU96" s="3"/>
      <c r="VV96" s="3"/>
      <c r="VW96" s="3"/>
      <c r="VX96" s="3"/>
      <c r="VY96" s="3"/>
      <c r="VZ96" s="3"/>
      <c r="WA96" s="3"/>
      <c r="WB96" s="3"/>
      <c r="WC96" s="3"/>
      <c r="WD96" s="3"/>
      <c r="WE96" s="3"/>
      <c r="WF96" s="3"/>
      <c r="WG96" s="3"/>
      <c r="WH96" s="3"/>
      <c r="WI96" s="3"/>
      <c r="WJ96" s="3"/>
      <c r="WK96" s="3"/>
      <c r="WL96" s="3"/>
      <c r="WM96" s="3"/>
      <c r="WN96" s="3"/>
      <c r="WO96" s="3"/>
      <c r="WP96" s="3"/>
      <c r="WQ96" s="3"/>
      <c r="WR96" s="3"/>
      <c r="WS96" s="3"/>
      <c r="WT96" s="3"/>
      <c r="WU96" s="3"/>
      <c r="WV96" s="3"/>
      <c r="WW96" s="3"/>
      <c r="WX96" s="3"/>
      <c r="WY96" s="3"/>
      <c r="WZ96" s="3"/>
      <c r="XA96" s="3"/>
      <c r="XB96" s="3"/>
      <c r="XC96" s="3"/>
      <c r="XD96" s="3"/>
      <c r="XE96" s="3"/>
      <c r="XF96" s="3"/>
      <c r="XG96" s="3"/>
      <c r="XH96" s="3"/>
      <c r="XI96" s="3"/>
      <c r="XJ96" s="3"/>
      <c r="XK96" s="3"/>
      <c r="XL96" s="3"/>
      <c r="XM96" s="3"/>
      <c r="XN96" s="3"/>
      <c r="XO96" s="3"/>
      <c r="XP96" s="3"/>
      <c r="XQ96" s="3"/>
      <c r="XR96" s="3"/>
      <c r="XS96" s="3"/>
      <c r="XT96" s="3"/>
      <c r="XU96" s="3"/>
      <c r="XV96" s="3"/>
      <c r="XW96" s="3"/>
      <c r="XX96" s="3"/>
      <c r="XY96" s="3"/>
      <c r="XZ96" s="3"/>
      <c r="YA96" s="3"/>
      <c r="YB96" s="3"/>
      <c r="YC96" s="3"/>
      <c r="YD96" s="3"/>
      <c r="YE96" s="3"/>
      <c r="YF96" s="3"/>
      <c r="YG96" s="3"/>
      <c r="YH96" s="3"/>
      <c r="YI96" s="3"/>
      <c r="YJ96" s="3"/>
      <c r="YK96" s="3"/>
      <c r="YL96" s="3"/>
      <c r="YM96" s="3"/>
      <c r="YN96" s="3"/>
      <c r="YO96" s="3"/>
      <c r="YP96" s="3"/>
      <c r="YQ96" s="3"/>
      <c r="YR96" s="3"/>
      <c r="YS96" s="3"/>
      <c r="YT96" s="3"/>
      <c r="YU96" s="3"/>
      <c r="YV96" s="3"/>
      <c r="YW96" s="3"/>
      <c r="YX96" s="3"/>
      <c r="YY96" s="3"/>
      <c r="YZ96" s="3"/>
      <c r="ZA96" s="3"/>
      <c r="ZB96" s="3"/>
      <c r="ZC96" s="3"/>
      <c r="ZD96" s="3"/>
      <c r="ZE96" s="3"/>
      <c r="ZF96" s="3"/>
      <c r="ZG96" s="3"/>
      <c r="ZH96" s="3"/>
      <c r="ZI96" s="3"/>
      <c r="ZJ96" s="3"/>
      <c r="ZK96" s="3"/>
      <c r="ZL96" s="3"/>
      <c r="ZM96" s="3"/>
      <c r="ZN96" s="3"/>
      <c r="ZO96" s="3"/>
      <c r="ZP96" s="3"/>
      <c r="ZQ96" s="3"/>
      <c r="ZR96" s="3"/>
      <c r="ZS96" s="3"/>
      <c r="ZT96" s="3"/>
      <c r="ZU96" s="3"/>
      <c r="ZV96" s="3"/>
      <c r="ZW96" s="3"/>
      <c r="ZX96" s="3"/>
      <c r="ZY96" s="3"/>
      <c r="ZZ96" s="3"/>
      <c r="AAA96" s="3"/>
      <c r="AAB96" s="3"/>
      <c r="AAC96" s="3"/>
      <c r="AAD96" s="3"/>
      <c r="AAE96" s="3"/>
      <c r="AAF96" s="3"/>
      <c r="AAG96" s="3"/>
      <c r="AAH96" s="3"/>
      <c r="AAI96" s="3"/>
      <c r="AAJ96" s="3"/>
      <c r="AAK96" s="3"/>
      <c r="AAL96" s="3"/>
      <c r="AAM96" s="3"/>
      <c r="AAN96" s="3"/>
      <c r="AAO96" s="3"/>
      <c r="AAP96" s="3"/>
      <c r="AAQ96" s="3"/>
      <c r="AAR96" s="3"/>
      <c r="AAS96" s="3"/>
      <c r="AAT96" s="3"/>
      <c r="AAU96" s="3"/>
      <c r="AAV96" s="3"/>
      <c r="AAW96" s="3"/>
      <c r="AAX96" s="3"/>
      <c r="AAY96" s="3"/>
      <c r="AAZ96" s="3"/>
      <c r="ABA96" s="3"/>
      <c r="ABB96" s="3"/>
      <c r="ABC96" s="3"/>
      <c r="ABD96" s="3"/>
      <c r="ABE96" s="3"/>
      <c r="ABF96" s="3"/>
      <c r="ABG96" s="3"/>
      <c r="ABH96" s="3"/>
      <c r="ABI96" s="3"/>
      <c r="ABJ96" s="3"/>
      <c r="ABK96" s="3"/>
      <c r="ABL96" s="3"/>
      <c r="ABM96" s="3"/>
      <c r="ABN96" s="3"/>
      <c r="ABO96" s="3"/>
      <c r="ABP96" s="3"/>
      <c r="ABQ96" s="3"/>
      <c r="ABR96" s="3"/>
      <c r="ABS96" s="3"/>
      <c r="ABT96" s="3"/>
      <c r="ABU96" s="3"/>
      <c r="ABV96" s="3"/>
      <c r="ABW96" s="3"/>
      <c r="ABX96" s="3"/>
      <c r="ABY96" s="3"/>
      <c r="ABZ96" s="3"/>
      <c r="ACA96" s="3"/>
      <c r="ACB96" s="3"/>
      <c r="ACC96" s="3"/>
      <c r="ACD96" s="3"/>
      <c r="ACE96" s="3"/>
      <c r="ACF96" s="3"/>
      <c r="ACG96" s="3"/>
      <c r="ACH96" s="3"/>
      <c r="ACI96" s="3"/>
      <c r="ACJ96" s="3"/>
      <c r="ACK96" s="3"/>
      <c r="ACL96" s="3"/>
      <c r="ACM96" s="3"/>
      <c r="ACN96" s="3"/>
      <c r="ACO96" s="3"/>
      <c r="ACP96" s="3"/>
      <c r="ACQ96" s="3"/>
      <c r="ACR96" s="3"/>
      <c r="ACS96" s="3"/>
      <c r="ACT96" s="3"/>
      <c r="ACU96" s="3"/>
      <c r="ACV96" s="3"/>
      <c r="ACW96" s="3"/>
      <c r="ACX96" s="3"/>
      <c r="ACY96" s="3"/>
      <c r="ACZ96" s="3"/>
      <c r="ADA96" s="3"/>
      <c r="ADB96" s="3"/>
      <c r="ADC96" s="3"/>
      <c r="ADD96" s="3"/>
      <c r="ADE96" s="3"/>
      <c r="ADF96" s="3"/>
      <c r="ADG96" s="3"/>
      <c r="ADH96" s="3"/>
      <c r="ADI96" s="3"/>
      <c r="ADJ96" s="3"/>
      <c r="ADK96" s="3"/>
      <c r="ADL96" s="3"/>
      <c r="ADM96" s="3"/>
      <c r="ADN96" s="3"/>
      <c r="ADO96" s="3"/>
      <c r="ADP96" s="3"/>
      <c r="ADQ96" s="3"/>
      <c r="ADR96" s="3"/>
      <c r="ADS96" s="3"/>
      <c r="ADT96" s="3"/>
      <c r="ADU96" s="3"/>
      <c r="ADV96" s="3"/>
      <c r="ADW96" s="3"/>
      <c r="ADX96" s="3"/>
      <c r="ADY96" s="3"/>
      <c r="ADZ96" s="3"/>
      <c r="AEA96" s="3"/>
      <c r="AEB96" s="3"/>
      <c r="AEC96" s="3"/>
      <c r="AED96" s="3"/>
      <c r="AEE96" s="3"/>
      <c r="AEF96" s="3"/>
      <c r="AEG96" s="3"/>
      <c r="AEH96" s="3"/>
      <c r="AEI96" s="3"/>
      <c r="AEJ96" s="3"/>
      <c r="AEK96" s="3"/>
      <c r="AEL96" s="3"/>
      <c r="AEM96" s="3"/>
      <c r="AEN96" s="3"/>
      <c r="AEO96" s="3"/>
      <c r="AEP96" s="3"/>
      <c r="AEQ96" s="3"/>
      <c r="AER96" s="3"/>
      <c r="AES96" s="3"/>
      <c r="AET96" s="3"/>
      <c r="AEU96" s="3"/>
      <c r="AEV96" s="3"/>
      <c r="AEW96" s="3"/>
      <c r="AEX96" s="3"/>
      <c r="AEY96" s="3"/>
      <c r="AEZ96" s="3"/>
      <c r="AFA96" s="3"/>
      <c r="AFB96" s="3"/>
      <c r="AFC96" s="3"/>
      <c r="AFD96" s="3"/>
      <c r="AFE96" s="3"/>
      <c r="AFF96" s="3"/>
      <c r="AFG96" s="3"/>
      <c r="AFH96" s="3"/>
      <c r="AFI96" s="3"/>
      <c r="AFJ96" s="3"/>
      <c r="AFK96" s="3"/>
      <c r="AFL96" s="3"/>
      <c r="AFM96" s="3"/>
      <c r="AFN96" s="3"/>
      <c r="AFO96" s="3"/>
      <c r="AFP96" s="3"/>
      <c r="AFQ96" s="3"/>
      <c r="AFR96" s="3"/>
      <c r="AFS96" s="3"/>
      <c r="AFT96" s="3"/>
      <c r="AFU96" s="3"/>
      <c r="AFV96" s="3"/>
      <c r="AFW96" s="3"/>
      <c r="AFX96" s="3"/>
      <c r="AFY96" s="3"/>
      <c r="AFZ96" s="3"/>
      <c r="AGA96" s="3"/>
      <c r="AGB96" s="3"/>
      <c r="AGC96" s="3"/>
      <c r="AGD96" s="3"/>
      <c r="AGE96" s="3"/>
      <c r="AGF96" s="3"/>
      <c r="AGG96" s="3"/>
      <c r="AGH96" s="3"/>
      <c r="AGI96" s="3"/>
      <c r="AGJ96" s="3"/>
      <c r="AGK96" s="3"/>
      <c r="AGL96" s="3"/>
      <c r="AGM96" s="3"/>
      <c r="AGN96" s="3"/>
      <c r="AGO96" s="3"/>
      <c r="AGP96" s="3"/>
      <c r="AGQ96" s="3"/>
      <c r="AGR96" s="3"/>
      <c r="AGS96" s="3"/>
      <c r="AGT96" s="3"/>
      <c r="AGU96" s="3"/>
      <c r="AGV96" s="3"/>
      <c r="AGW96" s="3"/>
      <c r="AGX96" s="3"/>
      <c r="AGY96" s="3"/>
      <c r="AGZ96" s="3"/>
      <c r="AHA96" s="3"/>
      <c r="AHB96" s="3"/>
      <c r="AHC96" s="3"/>
      <c r="AHD96" s="3"/>
      <c r="AHE96" s="3"/>
      <c r="AHF96" s="3"/>
      <c r="AHG96" s="3"/>
      <c r="AHH96" s="3"/>
      <c r="AHI96" s="3"/>
      <c r="AHJ96" s="3"/>
      <c r="AHK96" s="3"/>
      <c r="AHL96" s="3"/>
      <c r="AHM96" s="3"/>
      <c r="AHN96" s="3"/>
      <c r="AHO96" s="3"/>
      <c r="AHP96" s="3"/>
      <c r="AHQ96" s="3"/>
      <c r="AHR96" s="3"/>
      <c r="AHS96" s="3"/>
      <c r="AHT96" s="3"/>
      <c r="AHU96" s="3"/>
      <c r="AHV96" s="3"/>
      <c r="AHW96" s="3"/>
      <c r="AHX96" s="3"/>
      <c r="AHY96" s="3"/>
      <c r="AHZ96" s="3"/>
      <c r="AIA96" s="3"/>
      <c r="AIB96" s="3"/>
      <c r="AIC96" s="3"/>
      <c r="AID96" s="3"/>
      <c r="AIE96" s="3"/>
      <c r="AIF96" s="3"/>
      <c r="AIG96" s="3"/>
      <c r="AIH96" s="3"/>
      <c r="AII96" s="3"/>
      <c r="AIJ96" s="3"/>
      <c r="AIK96" s="3"/>
      <c r="AIL96" s="3"/>
      <c r="AIM96" s="3"/>
      <c r="AIN96" s="3"/>
      <c r="AIO96" s="3"/>
      <c r="AIP96" s="3"/>
      <c r="AIQ96" s="3"/>
      <c r="AIR96" s="3"/>
      <c r="AIS96" s="3"/>
      <c r="AIT96" s="3"/>
      <c r="AIU96" s="3"/>
      <c r="AIV96" s="3"/>
      <c r="AIW96" s="3"/>
      <c r="AIX96" s="3"/>
      <c r="AIY96" s="3"/>
      <c r="AIZ96" s="3"/>
      <c r="AJA96" s="3"/>
      <c r="AJB96" s="3"/>
      <c r="AJC96" s="3"/>
      <c r="AJD96" s="3"/>
      <c r="AJE96" s="3"/>
      <c r="AJF96" s="3"/>
      <c r="AJG96" s="3"/>
      <c r="AJH96" s="3"/>
      <c r="AJI96" s="3"/>
      <c r="AJJ96" s="3"/>
      <c r="AJK96" s="3"/>
      <c r="AJL96" s="3"/>
      <c r="AJM96" s="3"/>
      <c r="AJN96" s="3"/>
      <c r="AJO96" s="3"/>
      <c r="AJP96" s="3"/>
      <c r="AJQ96" s="3"/>
      <c r="AJR96" s="3"/>
      <c r="AJS96" s="3"/>
      <c r="AJT96" s="3"/>
      <c r="AJU96" s="3"/>
      <c r="AJV96" s="3"/>
      <c r="AJW96" s="3"/>
      <c r="AJX96" s="3"/>
      <c r="AJY96" s="3"/>
      <c r="AJZ96" s="3"/>
      <c r="AKA96" s="3"/>
      <c r="AKB96" s="3"/>
      <c r="AKC96" s="3"/>
      <c r="AKD96" s="3"/>
      <c r="AKE96" s="3"/>
      <c r="AKF96" s="3"/>
      <c r="AKG96" s="3"/>
      <c r="AKH96" s="3"/>
      <c r="AKI96" s="3"/>
      <c r="AKJ96" s="3"/>
      <c r="AKK96" s="3"/>
      <c r="AKL96" s="3"/>
      <c r="AKM96" s="3"/>
      <c r="AKN96" s="3"/>
      <c r="AKO96" s="3"/>
      <c r="AKP96" s="3"/>
      <c r="AKQ96" s="3"/>
      <c r="AKR96" s="3"/>
      <c r="AKS96" s="3"/>
      <c r="AKT96" s="3"/>
      <c r="AKU96" s="3"/>
      <c r="AKV96" s="3"/>
      <c r="AKW96" s="3"/>
      <c r="AKX96" s="3"/>
      <c r="AKY96" s="3"/>
      <c r="AKZ96" s="3"/>
      <c r="ALA96" s="3"/>
      <c r="ALB96" s="3"/>
      <c r="ALC96" s="3"/>
      <c r="ALD96" s="3"/>
      <c r="ALE96" s="3"/>
      <c r="ALF96" s="3"/>
      <c r="ALG96" s="3"/>
      <c r="ALH96" s="3"/>
      <c r="ALI96" s="3"/>
      <c r="ALJ96" s="3"/>
      <c r="ALK96" s="3"/>
      <c r="ALL96" s="3"/>
      <c r="ALM96" s="3"/>
      <c r="ALN96" s="3"/>
      <c r="ALO96" s="3"/>
      <c r="ALP96" s="3"/>
      <c r="ALQ96" s="3"/>
      <c r="ALR96" s="3"/>
      <c r="ALS96" s="3"/>
      <c r="ALT96" s="3"/>
      <c r="ALU96" s="3"/>
      <c r="ALV96" s="3"/>
      <c r="ALW96" s="3"/>
      <c r="ALX96" s="3"/>
      <c r="ALY96" s="3"/>
      <c r="ALZ96" s="3"/>
      <c r="AMA96" s="3"/>
      <c r="AMB96" s="3"/>
      <c r="AMC96" s="3"/>
      <c r="AMD96" s="3"/>
      <c r="AME96" s="3"/>
      <c r="AMF96" s="3"/>
      <c r="AMG96" s="3"/>
      <c r="AMH96" s="3"/>
      <c r="AMI96" s="3"/>
      <c r="AMJ96" s="3"/>
      <c r="AMK96" s="3"/>
      <c r="AML96" s="3"/>
      <c r="AMM96" s="3"/>
      <c r="AMN96" s="3"/>
      <c r="AMO96" s="3"/>
      <c r="AMP96" s="3"/>
      <c r="AMQ96" s="3"/>
      <c r="AMR96" s="3"/>
      <c r="AMS96" s="3"/>
      <c r="AMT96" s="3"/>
      <c r="AMU96" s="3"/>
      <c r="AMV96" s="3"/>
      <c r="AMW96" s="3"/>
      <c r="AMX96" s="3"/>
      <c r="AMY96" s="3"/>
      <c r="AMZ96" s="3"/>
      <c r="ANA96" s="3"/>
      <c r="ANB96" s="3"/>
      <c r="ANC96" s="3"/>
      <c r="AND96" s="3"/>
      <c r="ANE96" s="3"/>
      <c r="ANF96" s="3"/>
      <c r="ANG96" s="3"/>
      <c r="ANH96" s="3"/>
      <c r="ANI96" s="3"/>
      <c r="ANJ96" s="3"/>
      <c r="ANK96" s="3"/>
      <c r="ANL96" s="3"/>
      <c r="ANM96" s="3"/>
      <c r="ANN96" s="3"/>
      <c r="ANO96" s="3"/>
      <c r="ANP96" s="3"/>
      <c r="ANQ96" s="3"/>
      <c r="ANR96" s="3"/>
      <c r="ANS96" s="3"/>
      <c r="ANT96" s="3"/>
      <c r="ANU96" s="3"/>
      <c r="ANV96" s="3"/>
      <c r="ANW96" s="3"/>
      <c r="ANX96" s="3"/>
      <c r="ANY96" s="3"/>
      <c r="ANZ96" s="3"/>
      <c r="AOA96" s="3"/>
      <c r="AOB96" s="3"/>
      <c r="AOC96" s="3"/>
      <c r="AOD96" s="3"/>
      <c r="AOE96" s="3"/>
      <c r="AOF96" s="3"/>
      <c r="AOG96" s="3"/>
      <c r="AOH96" s="3"/>
      <c r="AOI96" s="3"/>
      <c r="AOJ96" s="3"/>
      <c r="AOK96" s="3"/>
      <c r="AOL96" s="3"/>
      <c r="AOM96" s="3"/>
      <c r="AON96" s="3"/>
      <c r="AOO96" s="3"/>
      <c r="AOP96" s="3"/>
      <c r="AOQ96" s="3"/>
      <c r="AOR96" s="3"/>
      <c r="AOS96" s="3"/>
      <c r="AOT96" s="3"/>
      <c r="AOU96" s="3"/>
      <c r="AOV96" s="3"/>
      <c r="AOW96" s="3"/>
      <c r="AOX96" s="3"/>
      <c r="AOY96" s="3"/>
      <c r="AOZ96" s="3"/>
      <c r="APA96" s="3"/>
      <c r="APB96" s="3"/>
      <c r="APC96" s="3"/>
      <c r="APD96" s="3"/>
      <c r="APE96" s="3"/>
      <c r="APF96" s="3"/>
      <c r="APG96" s="3"/>
      <c r="APH96" s="3"/>
      <c r="API96" s="3"/>
      <c r="APJ96" s="3"/>
      <c r="APK96" s="3"/>
      <c r="APL96" s="3"/>
      <c r="APM96" s="3"/>
      <c r="APN96" s="3"/>
      <c r="APO96" s="3"/>
      <c r="APP96" s="3"/>
      <c r="APQ96" s="3"/>
      <c r="APR96" s="3"/>
      <c r="APS96" s="3"/>
      <c r="APT96" s="3"/>
      <c r="APU96" s="3"/>
      <c r="APV96" s="3"/>
      <c r="APW96" s="3"/>
      <c r="APX96" s="3"/>
      <c r="APY96" s="3"/>
      <c r="APZ96" s="3"/>
      <c r="AQA96" s="3"/>
      <c r="AQB96" s="3"/>
      <c r="AQC96" s="3"/>
      <c r="AQD96" s="3"/>
      <c r="AQE96" s="3"/>
      <c r="AQF96" s="3"/>
      <c r="AQG96" s="3"/>
      <c r="AQH96" s="3"/>
      <c r="AQI96" s="3"/>
      <c r="AQJ96" s="3"/>
      <c r="AQK96" s="3"/>
      <c r="AQL96" s="3"/>
      <c r="AQM96" s="3"/>
      <c r="AQN96" s="3"/>
      <c r="AQO96" s="3"/>
      <c r="AQP96" s="3"/>
      <c r="AQQ96" s="3"/>
      <c r="AQR96" s="3"/>
      <c r="AQS96" s="3"/>
      <c r="AQT96" s="3"/>
      <c r="AQU96" s="3"/>
      <c r="AQV96" s="3"/>
      <c r="AQW96" s="3"/>
      <c r="AQX96" s="3"/>
      <c r="AQY96" s="3"/>
      <c r="AQZ96" s="3"/>
      <c r="ARA96" s="3"/>
      <c r="ARB96" s="3"/>
      <c r="ARC96" s="3"/>
      <c r="ARD96" s="3"/>
      <c r="ARE96" s="3"/>
      <c r="ARF96" s="3"/>
      <c r="ARG96" s="3"/>
      <c r="ARH96" s="3"/>
      <c r="ARI96" s="3"/>
      <c r="ARJ96" s="3"/>
      <c r="ARK96" s="3"/>
      <c r="ARL96" s="3"/>
      <c r="ARM96" s="3"/>
      <c r="ARN96" s="3"/>
      <c r="ARO96" s="3"/>
      <c r="ARP96" s="3"/>
      <c r="ARQ96" s="3"/>
      <c r="ARR96" s="3"/>
      <c r="ARS96" s="3"/>
      <c r="ART96" s="3"/>
      <c r="ARU96" s="3"/>
      <c r="ARV96" s="3"/>
      <c r="ARW96" s="3"/>
      <c r="ARX96" s="3"/>
      <c r="ARY96" s="3"/>
      <c r="ARZ96" s="3"/>
      <c r="ASA96" s="3"/>
      <c r="ASB96" s="3"/>
      <c r="ASC96" s="3"/>
      <c r="ASD96" s="3"/>
      <c r="ASE96" s="3"/>
      <c r="ASF96" s="3"/>
      <c r="ASG96" s="3"/>
      <c r="ASH96" s="3"/>
      <c r="ASI96" s="3"/>
      <c r="ASJ96" s="3"/>
      <c r="ASK96" s="3"/>
      <c r="ASL96" s="3"/>
      <c r="ASM96" s="3"/>
      <c r="ASN96" s="3"/>
      <c r="ASO96" s="3"/>
      <c r="ASP96" s="3"/>
      <c r="ASQ96" s="3"/>
      <c r="ASR96" s="3"/>
      <c r="ASS96" s="3"/>
      <c r="AST96" s="3"/>
      <c r="ASU96" s="3"/>
      <c r="ASV96" s="3"/>
      <c r="ASW96" s="3"/>
      <c r="ASX96" s="3"/>
      <c r="ASY96" s="3"/>
      <c r="ASZ96" s="3"/>
      <c r="ATA96" s="3"/>
      <c r="ATB96" s="3"/>
      <c r="ATC96" s="3"/>
      <c r="ATD96" s="3"/>
      <c r="ATE96" s="3"/>
      <c r="ATF96" s="3"/>
      <c r="ATG96" s="3"/>
      <c r="ATH96" s="3"/>
      <c r="ATI96" s="3"/>
      <c r="ATJ96" s="3"/>
      <c r="ATK96" s="3"/>
      <c r="ATL96" s="3"/>
      <c r="ATM96" s="3"/>
      <c r="ATN96" s="3"/>
      <c r="ATO96" s="3"/>
      <c r="ATP96" s="3"/>
      <c r="ATQ96" s="3"/>
      <c r="ATR96" s="3"/>
      <c r="ATS96" s="3"/>
      <c r="ATT96" s="3"/>
      <c r="ATU96" s="3"/>
      <c r="ATV96" s="3"/>
      <c r="ATW96" s="3"/>
      <c r="ATX96" s="3"/>
      <c r="ATY96" s="3"/>
      <c r="ATZ96" s="3"/>
      <c r="AUA96" s="3"/>
      <c r="AUB96" s="3"/>
      <c r="AUC96" s="3"/>
      <c r="AUD96" s="3"/>
      <c r="AUE96" s="3"/>
      <c r="AUF96" s="3"/>
      <c r="AUG96" s="3"/>
      <c r="AUH96" s="3"/>
      <c r="AUI96" s="3"/>
      <c r="AUJ96" s="3"/>
      <c r="AUK96" s="3"/>
      <c r="AUL96" s="3"/>
      <c r="AUM96" s="3"/>
      <c r="AUN96" s="3"/>
      <c r="AUO96" s="3"/>
      <c r="AUP96" s="3"/>
      <c r="AUQ96" s="3"/>
      <c r="AUR96" s="3"/>
      <c r="AUS96" s="3"/>
      <c r="AUT96" s="3"/>
      <c r="AUU96" s="3"/>
      <c r="AUV96" s="3"/>
      <c r="AUW96" s="3"/>
      <c r="AUX96" s="3"/>
      <c r="AUY96" s="3"/>
      <c r="AUZ96" s="3"/>
      <c r="AVA96" s="3"/>
      <c r="AVB96" s="3"/>
      <c r="AVC96" s="3"/>
      <c r="AVD96" s="3"/>
      <c r="AVE96" s="3"/>
      <c r="AVF96" s="3"/>
      <c r="AVG96" s="3"/>
      <c r="AVH96" s="3"/>
      <c r="AVI96" s="3"/>
      <c r="AVJ96" s="3"/>
      <c r="AVK96" s="3"/>
      <c r="AVL96" s="3"/>
      <c r="AVM96" s="3"/>
      <c r="AVN96" s="3"/>
      <c r="AVO96" s="3"/>
      <c r="AVP96" s="3"/>
      <c r="AVQ96" s="3"/>
      <c r="AVR96" s="3"/>
      <c r="AVS96" s="3"/>
      <c r="AVT96" s="3"/>
      <c r="AVU96" s="3"/>
      <c r="AVV96" s="3"/>
      <c r="AVW96" s="3"/>
      <c r="AVX96" s="3"/>
      <c r="AVY96" s="3"/>
      <c r="AVZ96" s="3"/>
      <c r="AWA96" s="3"/>
      <c r="AWB96" s="3"/>
      <c r="AWC96" s="3"/>
      <c r="AWD96" s="3"/>
      <c r="AWE96" s="3"/>
      <c r="AWF96" s="3"/>
      <c r="AWG96" s="3"/>
      <c r="AWH96" s="3"/>
      <c r="AWI96" s="3"/>
      <c r="AWJ96" s="3"/>
      <c r="AWK96" s="3"/>
      <c r="AWL96" s="3"/>
      <c r="AWM96" s="3"/>
      <c r="AWN96" s="3"/>
      <c r="AWO96" s="3"/>
      <c r="AWP96" s="3"/>
      <c r="AWQ96" s="3"/>
      <c r="AWR96" s="3"/>
      <c r="AWS96" s="3"/>
      <c r="AWT96" s="3"/>
      <c r="AWU96" s="3"/>
      <c r="AWV96" s="3"/>
      <c r="AWW96" s="3"/>
      <c r="AWX96" s="3"/>
      <c r="AWY96" s="3"/>
      <c r="AWZ96" s="3"/>
      <c r="AXA96" s="3"/>
      <c r="AXB96" s="3"/>
      <c r="AXC96" s="3"/>
      <c r="AXD96" s="3"/>
      <c r="AXE96" s="3"/>
      <c r="AXF96" s="3"/>
      <c r="AXG96" s="3"/>
      <c r="AXH96" s="3"/>
      <c r="AXI96" s="3"/>
      <c r="AXJ96" s="3"/>
      <c r="AXK96" s="3"/>
      <c r="AXL96" s="3"/>
      <c r="AXM96" s="3"/>
      <c r="AXN96" s="3"/>
      <c r="AXO96" s="3"/>
      <c r="AXP96" s="3"/>
      <c r="AXQ96" s="3"/>
      <c r="AXR96" s="3"/>
      <c r="AXS96" s="3"/>
      <c r="AXT96" s="3"/>
      <c r="AXU96" s="3"/>
      <c r="AXV96" s="3"/>
      <c r="AXW96" s="3"/>
      <c r="AXX96" s="3"/>
      <c r="AXY96" s="3"/>
      <c r="AXZ96" s="3"/>
      <c r="AYA96" s="3"/>
      <c r="AYB96" s="3"/>
      <c r="AYC96" s="3"/>
      <c r="AYD96" s="3"/>
      <c r="AYE96" s="3"/>
      <c r="AYF96" s="3"/>
      <c r="AYG96" s="3"/>
      <c r="AYH96" s="3"/>
      <c r="AYI96" s="3"/>
      <c r="AYJ96" s="3"/>
      <c r="AYK96" s="3"/>
      <c r="AYL96" s="3"/>
      <c r="AYM96" s="3"/>
      <c r="AYN96" s="3"/>
      <c r="AYO96" s="3"/>
      <c r="AYP96" s="3"/>
      <c r="AYQ96" s="3"/>
      <c r="AYR96" s="3"/>
      <c r="AYS96" s="3"/>
      <c r="AYT96" s="3"/>
      <c r="AYU96" s="3"/>
      <c r="AYV96" s="3"/>
      <c r="AYW96" s="3"/>
      <c r="AYX96" s="3"/>
      <c r="AYY96" s="3"/>
    </row>
    <row r="97" spans="1:1671" x14ac:dyDescent="0.25">
      <c r="A97" s="26" t="s">
        <v>125</v>
      </c>
      <c r="B97" s="27"/>
      <c r="C97" s="10">
        <f>AVERAGE(logistics!B18:K18)</f>
        <v>1.1629829999999998E-4</v>
      </c>
      <c r="D97" s="11">
        <f>AVERAGE(logistics!B47:K47)</f>
        <v>1.56278E-5</v>
      </c>
      <c r="E97" s="15">
        <f t="shared" si="2"/>
        <v>1.5261650272387342</v>
      </c>
      <c r="F97" s="15">
        <f t="shared" si="3"/>
        <v>6.4417576370314427</v>
      </c>
      <c r="G97" s="10" t="s">
        <v>121</v>
      </c>
      <c r="H97" s="18">
        <v>1.7620820355992717</v>
      </c>
      <c r="I97" s="3"/>
      <c r="J97" s="10" t="s">
        <v>121</v>
      </c>
      <c r="K97" s="18">
        <v>14.812517751970807</v>
      </c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  <c r="DK97" s="3"/>
      <c r="DL97" s="3"/>
      <c r="DM97" s="3"/>
      <c r="DN97" s="3"/>
      <c r="DO97" s="3"/>
      <c r="DP97" s="3"/>
      <c r="DQ97" s="3"/>
      <c r="DR97" s="3"/>
      <c r="DS97" s="3"/>
      <c r="DT97" s="3"/>
      <c r="DU97" s="3"/>
      <c r="DV97" s="3"/>
      <c r="DW97" s="3"/>
      <c r="DX97" s="3"/>
      <c r="DY97" s="3"/>
      <c r="DZ97" s="3"/>
      <c r="EA97" s="3"/>
      <c r="EB97" s="3"/>
      <c r="EC97" s="3"/>
      <c r="ED97" s="3"/>
      <c r="EE97" s="3"/>
      <c r="EF97" s="3"/>
      <c r="EG97" s="3"/>
      <c r="EH97" s="3"/>
      <c r="EI97" s="3"/>
      <c r="EJ97" s="3"/>
      <c r="EK97" s="3"/>
      <c r="EL97" s="3"/>
      <c r="EM97" s="3"/>
      <c r="EN97" s="3"/>
      <c r="EO97" s="3"/>
      <c r="EP97" s="3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  <c r="FH97" s="3"/>
      <c r="FI97" s="3"/>
      <c r="FJ97" s="3"/>
      <c r="FK97" s="3"/>
      <c r="FL97" s="3"/>
      <c r="FM97" s="3"/>
      <c r="FN97" s="3"/>
      <c r="FO97" s="3"/>
      <c r="FP97" s="3"/>
      <c r="FQ97" s="3"/>
      <c r="FR97" s="3"/>
      <c r="FS97" s="3"/>
      <c r="FT97" s="3"/>
      <c r="FU97" s="3"/>
      <c r="FV97" s="3"/>
      <c r="FW97" s="3"/>
      <c r="FX97" s="3"/>
      <c r="FY97" s="3"/>
      <c r="FZ97" s="3"/>
      <c r="GA97" s="3"/>
      <c r="GB97" s="3"/>
      <c r="GC97" s="3"/>
      <c r="GD97" s="3"/>
      <c r="GE97" s="3"/>
      <c r="GF97" s="3"/>
      <c r="GG97" s="3"/>
      <c r="GH97" s="3"/>
      <c r="GI97" s="3"/>
      <c r="GJ97" s="3"/>
      <c r="GK97" s="3"/>
      <c r="GL97" s="3"/>
      <c r="GM97" s="3"/>
      <c r="GN97" s="3"/>
      <c r="GO97" s="3"/>
      <c r="GP97" s="3"/>
      <c r="GQ97" s="3"/>
      <c r="GR97" s="3"/>
      <c r="GS97" s="3"/>
      <c r="GT97" s="3"/>
      <c r="GU97" s="3"/>
      <c r="GV97" s="3"/>
      <c r="GW97" s="3"/>
      <c r="GX97" s="3"/>
      <c r="GY97" s="3"/>
      <c r="GZ97" s="3"/>
      <c r="HA97" s="3"/>
      <c r="HB97" s="3"/>
      <c r="HC97" s="3"/>
      <c r="HD97" s="3"/>
      <c r="HE97" s="3"/>
      <c r="HF97" s="3"/>
      <c r="HG97" s="3"/>
      <c r="HH97" s="3"/>
      <c r="HI97" s="3"/>
      <c r="HJ97" s="3"/>
      <c r="HK97" s="3"/>
      <c r="HL97" s="3"/>
      <c r="HM97" s="3"/>
      <c r="HN97" s="3"/>
      <c r="HO97" s="3"/>
      <c r="HP97" s="3"/>
      <c r="HQ97" s="3"/>
      <c r="HR97" s="3"/>
      <c r="HS97" s="3"/>
      <c r="HT97" s="3"/>
      <c r="HU97" s="3"/>
      <c r="HV97" s="3"/>
      <c r="HW97" s="3"/>
      <c r="HX97" s="3"/>
      <c r="HY97" s="3"/>
      <c r="HZ97" s="3"/>
      <c r="IA97" s="3"/>
      <c r="IB97" s="3"/>
      <c r="IC97" s="3"/>
      <c r="ID97" s="3"/>
      <c r="IE97" s="3"/>
      <c r="IF97" s="3"/>
      <c r="IG97" s="3"/>
      <c r="IH97" s="3"/>
      <c r="II97" s="3"/>
      <c r="IJ97" s="3"/>
      <c r="IK97" s="3"/>
      <c r="IL97" s="3"/>
      <c r="IM97" s="3"/>
      <c r="IN97" s="3"/>
      <c r="IO97" s="3"/>
      <c r="IP97" s="3"/>
      <c r="IQ97" s="3"/>
      <c r="IR97" s="3"/>
      <c r="IS97" s="3"/>
      <c r="IT97" s="3"/>
      <c r="IU97" s="3"/>
      <c r="IV97" s="3"/>
      <c r="IW97" s="3"/>
      <c r="IX97" s="3"/>
      <c r="IY97" s="3"/>
      <c r="IZ97" s="3"/>
      <c r="JA97" s="3"/>
      <c r="JB97" s="3"/>
      <c r="JC97" s="3"/>
      <c r="JD97" s="3"/>
      <c r="JE97" s="3"/>
      <c r="JF97" s="3"/>
      <c r="JG97" s="3"/>
      <c r="JH97" s="3"/>
      <c r="JI97" s="3"/>
      <c r="JJ97" s="3"/>
      <c r="JK97" s="3"/>
      <c r="JL97" s="3"/>
      <c r="JM97" s="3"/>
      <c r="JN97" s="3"/>
      <c r="JO97" s="3"/>
      <c r="JP97" s="3"/>
      <c r="JQ97" s="3"/>
      <c r="JR97" s="3"/>
      <c r="JS97" s="3"/>
      <c r="JT97" s="3"/>
      <c r="JU97" s="3"/>
      <c r="JV97" s="3"/>
      <c r="JW97" s="3"/>
      <c r="JX97" s="3"/>
      <c r="JY97" s="3"/>
      <c r="JZ97" s="3"/>
      <c r="KA97" s="3"/>
      <c r="KB97" s="3"/>
      <c r="KC97" s="3"/>
      <c r="KD97" s="3"/>
      <c r="KE97" s="3"/>
      <c r="KF97" s="3"/>
      <c r="KG97" s="3"/>
      <c r="KH97" s="3"/>
      <c r="KI97" s="3"/>
      <c r="KJ97" s="3"/>
      <c r="KK97" s="3"/>
      <c r="KL97" s="3"/>
      <c r="KM97" s="3"/>
      <c r="KN97" s="3"/>
      <c r="KO97" s="3"/>
      <c r="KP97" s="3"/>
      <c r="KQ97" s="3"/>
      <c r="KR97" s="3"/>
      <c r="KS97" s="3"/>
      <c r="KT97" s="3"/>
      <c r="KU97" s="3"/>
      <c r="KV97" s="3"/>
      <c r="KW97" s="3"/>
      <c r="KX97" s="3"/>
      <c r="KY97" s="3"/>
      <c r="KZ97" s="3"/>
      <c r="LA97" s="3"/>
      <c r="LB97" s="3"/>
      <c r="LC97" s="3"/>
      <c r="LD97" s="3"/>
      <c r="LE97" s="3"/>
      <c r="LF97" s="3"/>
      <c r="LG97" s="3"/>
      <c r="LH97" s="3"/>
      <c r="LI97" s="3"/>
      <c r="LJ97" s="3"/>
      <c r="LK97" s="3"/>
      <c r="LL97" s="3"/>
      <c r="LM97" s="3"/>
      <c r="LN97" s="3"/>
      <c r="LO97" s="3"/>
      <c r="LP97" s="3"/>
      <c r="LQ97" s="3"/>
      <c r="LR97" s="3"/>
      <c r="LS97" s="3"/>
      <c r="LT97" s="3"/>
      <c r="LU97" s="3"/>
      <c r="LV97" s="3"/>
      <c r="LW97" s="3"/>
      <c r="LX97" s="3"/>
      <c r="LY97" s="3"/>
      <c r="LZ97" s="3"/>
      <c r="MA97" s="3"/>
      <c r="MB97" s="3"/>
      <c r="MC97" s="3"/>
      <c r="MD97" s="3"/>
      <c r="ME97" s="3"/>
      <c r="MF97" s="3"/>
      <c r="MG97" s="3"/>
      <c r="MH97" s="3"/>
      <c r="MI97" s="3"/>
      <c r="MJ97" s="3"/>
      <c r="MK97" s="3"/>
      <c r="ML97" s="3"/>
      <c r="MM97" s="3"/>
      <c r="MN97" s="3"/>
      <c r="MO97" s="3"/>
      <c r="MP97" s="3"/>
      <c r="MQ97" s="3"/>
      <c r="MR97" s="3"/>
      <c r="MS97" s="3"/>
      <c r="MT97" s="3"/>
      <c r="MU97" s="3"/>
      <c r="MV97" s="3"/>
      <c r="MW97" s="3"/>
      <c r="MX97" s="3"/>
      <c r="MY97" s="3"/>
      <c r="MZ97" s="3"/>
      <c r="NA97" s="3"/>
      <c r="NB97" s="3"/>
      <c r="NC97" s="3"/>
      <c r="ND97" s="3"/>
      <c r="NE97" s="3"/>
      <c r="NF97" s="3"/>
      <c r="NG97" s="3"/>
      <c r="NH97" s="3"/>
      <c r="NI97" s="3"/>
      <c r="NJ97" s="3"/>
      <c r="NK97" s="3"/>
      <c r="NL97" s="3"/>
      <c r="NM97" s="3"/>
      <c r="NN97" s="3"/>
      <c r="NO97" s="3"/>
      <c r="NP97" s="3"/>
      <c r="NQ97" s="3"/>
      <c r="NR97" s="3"/>
      <c r="NS97" s="3"/>
      <c r="NT97" s="3"/>
      <c r="NU97" s="3"/>
      <c r="NV97" s="3"/>
      <c r="NW97" s="3"/>
      <c r="NX97" s="3"/>
      <c r="NY97" s="3"/>
      <c r="NZ97" s="3"/>
      <c r="OA97" s="3"/>
      <c r="OB97" s="3"/>
      <c r="OC97" s="3"/>
      <c r="OD97" s="3"/>
      <c r="OE97" s="3"/>
      <c r="OF97" s="3"/>
      <c r="OG97" s="3"/>
      <c r="OH97" s="3"/>
      <c r="OI97" s="3"/>
      <c r="OJ97" s="3"/>
      <c r="OK97" s="3"/>
      <c r="OL97" s="3"/>
      <c r="OM97" s="3"/>
      <c r="ON97" s="3"/>
      <c r="OO97" s="3"/>
      <c r="OP97" s="3"/>
      <c r="OQ97" s="3"/>
      <c r="OR97" s="3"/>
      <c r="OS97" s="3"/>
      <c r="OT97" s="3"/>
      <c r="OU97" s="3"/>
      <c r="OV97" s="3"/>
      <c r="OW97" s="3"/>
      <c r="OX97" s="3"/>
      <c r="OY97" s="3"/>
      <c r="OZ97" s="3"/>
      <c r="PA97" s="3"/>
      <c r="PB97" s="3"/>
      <c r="PC97" s="3"/>
      <c r="PD97" s="3"/>
      <c r="PE97" s="3"/>
      <c r="PF97" s="3"/>
      <c r="PG97" s="3"/>
      <c r="PH97" s="3"/>
      <c r="PI97" s="3"/>
      <c r="PJ97" s="3"/>
      <c r="PK97" s="3"/>
      <c r="PL97" s="3"/>
      <c r="PM97" s="3"/>
      <c r="PN97" s="3"/>
      <c r="PO97" s="3"/>
      <c r="PP97" s="3"/>
      <c r="PQ97" s="3"/>
      <c r="PR97" s="3"/>
      <c r="PS97" s="3"/>
      <c r="PT97" s="3"/>
      <c r="PU97" s="3"/>
      <c r="PV97" s="3"/>
      <c r="PW97" s="3"/>
      <c r="PX97" s="3"/>
      <c r="PY97" s="3"/>
      <c r="PZ97" s="3"/>
      <c r="QA97" s="3"/>
      <c r="QB97" s="3"/>
      <c r="QC97" s="3"/>
      <c r="QD97" s="3"/>
      <c r="QE97" s="3"/>
      <c r="QF97" s="3"/>
      <c r="QG97" s="3"/>
      <c r="QH97" s="3"/>
      <c r="QI97" s="3"/>
      <c r="QJ97" s="3"/>
      <c r="QK97" s="3"/>
      <c r="QL97" s="3"/>
      <c r="QM97" s="3"/>
      <c r="QN97" s="3"/>
      <c r="QO97" s="3"/>
      <c r="QP97" s="3"/>
      <c r="QQ97" s="3"/>
      <c r="QR97" s="3"/>
      <c r="QS97" s="3"/>
      <c r="QT97" s="3"/>
      <c r="QU97" s="3"/>
      <c r="QV97" s="3"/>
      <c r="QW97" s="3"/>
      <c r="QX97" s="3"/>
      <c r="QY97" s="3"/>
      <c r="QZ97" s="3"/>
      <c r="RA97" s="3"/>
      <c r="RB97" s="3"/>
      <c r="RC97" s="3"/>
      <c r="RD97" s="3"/>
      <c r="RE97" s="3"/>
      <c r="RF97" s="3"/>
      <c r="RG97" s="3"/>
      <c r="RH97" s="3"/>
      <c r="RI97" s="3"/>
      <c r="RJ97" s="3"/>
      <c r="RK97" s="3"/>
      <c r="RL97" s="3"/>
      <c r="RM97" s="3"/>
      <c r="RN97" s="3"/>
      <c r="RO97" s="3"/>
      <c r="RP97" s="3"/>
      <c r="RQ97" s="3"/>
      <c r="RR97" s="3"/>
      <c r="RS97" s="3"/>
      <c r="RT97" s="3"/>
      <c r="RU97" s="3"/>
      <c r="RV97" s="3"/>
      <c r="RW97" s="3"/>
      <c r="RX97" s="3"/>
      <c r="RY97" s="3"/>
      <c r="RZ97" s="3"/>
      <c r="SA97" s="3"/>
      <c r="SB97" s="3"/>
      <c r="SC97" s="3"/>
      <c r="SD97" s="3"/>
      <c r="SE97" s="3"/>
      <c r="SF97" s="3"/>
      <c r="SG97" s="3"/>
      <c r="SH97" s="3"/>
      <c r="SI97" s="3"/>
      <c r="SJ97" s="3"/>
      <c r="SK97" s="3"/>
      <c r="SL97" s="3"/>
      <c r="SM97" s="3"/>
      <c r="SN97" s="3"/>
      <c r="SO97" s="3"/>
      <c r="SP97" s="3"/>
      <c r="SQ97" s="3"/>
      <c r="SR97" s="3"/>
      <c r="SS97" s="3"/>
      <c r="ST97" s="3"/>
      <c r="SU97" s="3"/>
      <c r="SV97" s="3"/>
      <c r="SW97" s="3"/>
      <c r="SX97" s="3"/>
      <c r="SY97" s="3"/>
      <c r="SZ97" s="3"/>
      <c r="TA97" s="3"/>
      <c r="TB97" s="3"/>
      <c r="TC97" s="3"/>
      <c r="TD97" s="3"/>
      <c r="TE97" s="3"/>
      <c r="TF97" s="3"/>
      <c r="TG97" s="3"/>
      <c r="TH97" s="3"/>
      <c r="TI97" s="3"/>
      <c r="TJ97" s="3"/>
      <c r="TK97" s="3"/>
      <c r="TL97" s="3"/>
      <c r="TM97" s="3"/>
      <c r="TN97" s="3"/>
      <c r="TO97" s="3"/>
      <c r="TP97" s="3"/>
      <c r="TQ97" s="3"/>
      <c r="TR97" s="3"/>
      <c r="TS97" s="3"/>
      <c r="TT97" s="3"/>
      <c r="TU97" s="3"/>
      <c r="TV97" s="3"/>
      <c r="TW97" s="3"/>
      <c r="TX97" s="3"/>
      <c r="TY97" s="3"/>
      <c r="TZ97" s="3"/>
      <c r="UA97" s="3"/>
      <c r="UB97" s="3"/>
      <c r="UC97" s="3"/>
      <c r="UD97" s="3"/>
      <c r="UE97" s="3"/>
      <c r="UF97" s="3"/>
      <c r="UG97" s="3"/>
      <c r="UH97" s="3"/>
      <c r="UI97" s="3"/>
      <c r="UJ97" s="3"/>
      <c r="UK97" s="3"/>
      <c r="UL97" s="3"/>
      <c r="UM97" s="3"/>
      <c r="UN97" s="3"/>
      <c r="UO97" s="3"/>
      <c r="UP97" s="3"/>
      <c r="UQ97" s="3"/>
      <c r="UR97" s="3"/>
      <c r="US97" s="3"/>
      <c r="UT97" s="3"/>
      <c r="UU97" s="3"/>
      <c r="UV97" s="3"/>
      <c r="UW97" s="3"/>
      <c r="UX97" s="3"/>
      <c r="UY97" s="3"/>
      <c r="UZ97" s="3"/>
      <c r="VA97" s="3"/>
      <c r="VB97" s="3"/>
      <c r="VC97" s="3"/>
      <c r="VD97" s="3"/>
      <c r="VE97" s="3"/>
      <c r="VF97" s="3"/>
      <c r="VG97" s="3"/>
      <c r="VH97" s="3"/>
      <c r="VI97" s="3"/>
      <c r="VJ97" s="3"/>
      <c r="VK97" s="3"/>
      <c r="VL97" s="3"/>
      <c r="VM97" s="3"/>
      <c r="VN97" s="3"/>
      <c r="VO97" s="3"/>
      <c r="VP97" s="3"/>
      <c r="VQ97" s="3"/>
      <c r="VR97" s="3"/>
      <c r="VS97" s="3"/>
      <c r="VT97" s="3"/>
      <c r="VU97" s="3"/>
      <c r="VV97" s="3"/>
      <c r="VW97" s="3"/>
      <c r="VX97" s="3"/>
      <c r="VY97" s="3"/>
      <c r="VZ97" s="3"/>
      <c r="WA97" s="3"/>
      <c r="WB97" s="3"/>
      <c r="WC97" s="3"/>
      <c r="WD97" s="3"/>
      <c r="WE97" s="3"/>
      <c r="WF97" s="3"/>
      <c r="WG97" s="3"/>
      <c r="WH97" s="3"/>
      <c r="WI97" s="3"/>
      <c r="WJ97" s="3"/>
      <c r="WK97" s="3"/>
      <c r="WL97" s="3"/>
      <c r="WM97" s="3"/>
      <c r="WN97" s="3"/>
      <c r="WO97" s="3"/>
      <c r="WP97" s="3"/>
      <c r="WQ97" s="3"/>
      <c r="WR97" s="3"/>
      <c r="WS97" s="3"/>
      <c r="WT97" s="3"/>
      <c r="WU97" s="3"/>
      <c r="WV97" s="3"/>
      <c r="WW97" s="3"/>
      <c r="WX97" s="3"/>
      <c r="WY97" s="3"/>
      <c r="WZ97" s="3"/>
      <c r="XA97" s="3"/>
      <c r="XB97" s="3"/>
      <c r="XC97" s="3"/>
      <c r="XD97" s="3"/>
      <c r="XE97" s="3"/>
      <c r="XF97" s="3"/>
      <c r="XG97" s="3"/>
      <c r="XH97" s="3"/>
      <c r="XI97" s="3"/>
      <c r="XJ97" s="3"/>
      <c r="XK97" s="3"/>
      <c r="XL97" s="3"/>
      <c r="XM97" s="3"/>
      <c r="XN97" s="3"/>
      <c r="XO97" s="3"/>
      <c r="XP97" s="3"/>
      <c r="XQ97" s="3"/>
      <c r="XR97" s="3"/>
      <c r="XS97" s="3"/>
      <c r="XT97" s="3"/>
      <c r="XU97" s="3"/>
      <c r="XV97" s="3"/>
      <c r="XW97" s="3"/>
      <c r="XX97" s="3"/>
      <c r="XY97" s="3"/>
      <c r="XZ97" s="3"/>
      <c r="YA97" s="3"/>
      <c r="YB97" s="3"/>
      <c r="YC97" s="3"/>
      <c r="YD97" s="3"/>
      <c r="YE97" s="3"/>
      <c r="YF97" s="3"/>
      <c r="YG97" s="3"/>
      <c r="YH97" s="3"/>
      <c r="YI97" s="3"/>
      <c r="YJ97" s="3"/>
      <c r="YK97" s="3"/>
      <c r="YL97" s="3"/>
      <c r="YM97" s="3"/>
      <c r="YN97" s="3"/>
      <c r="YO97" s="3"/>
      <c r="YP97" s="3"/>
      <c r="YQ97" s="3"/>
      <c r="YR97" s="3"/>
      <c r="YS97" s="3"/>
      <c r="YT97" s="3"/>
      <c r="YU97" s="3"/>
      <c r="YV97" s="3"/>
      <c r="YW97" s="3"/>
      <c r="YX97" s="3"/>
      <c r="YY97" s="3"/>
      <c r="YZ97" s="3"/>
      <c r="ZA97" s="3"/>
      <c r="ZB97" s="3"/>
      <c r="ZC97" s="3"/>
      <c r="ZD97" s="3"/>
      <c r="ZE97" s="3"/>
      <c r="ZF97" s="3"/>
      <c r="ZG97" s="3"/>
      <c r="ZH97" s="3"/>
      <c r="ZI97" s="3"/>
      <c r="ZJ97" s="3"/>
      <c r="ZK97" s="3"/>
      <c r="ZL97" s="3"/>
      <c r="ZM97" s="3"/>
      <c r="ZN97" s="3"/>
      <c r="ZO97" s="3"/>
      <c r="ZP97" s="3"/>
      <c r="ZQ97" s="3"/>
      <c r="ZR97" s="3"/>
      <c r="ZS97" s="3"/>
      <c r="ZT97" s="3"/>
      <c r="ZU97" s="3"/>
      <c r="ZV97" s="3"/>
      <c r="ZW97" s="3"/>
      <c r="ZX97" s="3"/>
      <c r="ZY97" s="3"/>
      <c r="ZZ97" s="3"/>
      <c r="AAA97" s="3"/>
      <c r="AAB97" s="3"/>
      <c r="AAC97" s="3"/>
      <c r="AAD97" s="3"/>
      <c r="AAE97" s="3"/>
      <c r="AAF97" s="3"/>
      <c r="AAG97" s="3"/>
      <c r="AAH97" s="3"/>
      <c r="AAI97" s="3"/>
      <c r="AAJ97" s="3"/>
      <c r="AAK97" s="3"/>
      <c r="AAL97" s="3"/>
      <c r="AAM97" s="3"/>
      <c r="AAN97" s="3"/>
      <c r="AAO97" s="3"/>
      <c r="AAP97" s="3"/>
      <c r="AAQ97" s="3"/>
      <c r="AAR97" s="3"/>
      <c r="AAS97" s="3"/>
      <c r="AAT97" s="3"/>
      <c r="AAU97" s="3"/>
      <c r="AAV97" s="3"/>
      <c r="AAW97" s="3"/>
      <c r="AAX97" s="3"/>
      <c r="AAY97" s="3"/>
      <c r="AAZ97" s="3"/>
      <c r="ABA97" s="3"/>
      <c r="ABB97" s="3"/>
      <c r="ABC97" s="3"/>
      <c r="ABD97" s="3"/>
      <c r="ABE97" s="3"/>
      <c r="ABF97" s="3"/>
      <c r="ABG97" s="3"/>
      <c r="ABH97" s="3"/>
      <c r="ABI97" s="3"/>
      <c r="ABJ97" s="3"/>
      <c r="ABK97" s="3"/>
      <c r="ABL97" s="3"/>
      <c r="ABM97" s="3"/>
      <c r="ABN97" s="3"/>
      <c r="ABO97" s="3"/>
      <c r="ABP97" s="3"/>
      <c r="ABQ97" s="3"/>
      <c r="ABR97" s="3"/>
      <c r="ABS97" s="3"/>
      <c r="ABT97" s="3"/>
      <c r="ABU97" s="3"/>
      <c r="ABV97" s="3"/>
      <c r="ABW97" s="3"/>
      <c r="ABX97" s="3"/>
      <c r="ABY97" s="3"/>
      <c r="ABZ97" s="3"/>
      <c r="ACA97" s="3"/>
      <c r="ACB97" s="3"/>
      <c r="ACC97" s="3"/>
      <c r="ACD97" s="3"/>
      <c r="ACE97" s="3"/>
      <c r="ACF97" s="3"/>
      <c r="ACG97" s="3"/>
      <c r="ACH97" s="3"/>
      <c r="ACI97" s="3"/>
      <c r="ACJ97" s="3"/>
      <c r="ACK97" s="3"/>
      <c r="ACL97" s="3"/>
      <c r="ACM97" s="3"/>
      <c r="ACN97" s="3"/>
      <c r="ACO97" s="3"/>
      <c r="ACP97" s="3"/>
      <c r="ACQ97" s="3"/>
      <c r="ACR97" s="3"/>
      <c r="ACS97" s="3"/>
      <c r="ACT97" s="3"/>
      <c r="ACU97" s="3"/>
      <c r="ACV97" s="3"/>
      <c r="ACW97" s="3"/>
      <c r="ACX97" s="3"/>
      <c r="ACY97" s="3"/>
      <c r="ACZ97" s="3"/>
      <c r="ADA97" s="3"/>
      <c r="ADB97" s="3"/>
      <c r="ADC97" s="3"/>
      <c r="ADD97" s="3"/>
      <c r="ADE97" s="3"/>
      <c r="ADF97" s="3"/>
      <c r="ADG97" s="3"/>
      <c r="ADH97" s="3"/>
      <c r="ADI97" s="3"/>
      <c r="ADJ97" s="3"/>
      <c r="ADK97" s="3"/>
      <c r="ADL97" s="3"/>
      <c r="ADM97" s="3"/>
      <c r="ADN97" s="3"/>
      <c r="ADO97" s="3"/>
      <c r="ADP97" s="3"/>
      <c r="ADQ97" s="3"/>
      <c r="ADR97" s="3"/>
      <c r="ADS97" s="3"/>
      <c r="ADT97" s="3"/>
      <c r="ADU97" s="3"/>
      <c r="ADV97" s="3"/>
      <c r="ADW97" s="3"/>
      <c r="ADX97" s="3"/>
      <c r="ADY97" s="3"/>
      <c r="ADZ97" s="3"/>
      <c r="AEA97" s="3"/>
      <c r="AEB97" s="3"/>
      <c r="AEC97" s="3"/>
      <c r="AED97" s="3"/>
      <c r="AEE97" s="3"/>
      <c r="AEF97" s="3"/>
      <c r="AEG97" s="3"/>
      <c r="AEH97" s="3"/>
      <c r="AEI97" s="3"/>
      <c r="AEJ97" s="3"/>
      <c r="AEK97" s="3"/>
      <c r="AEL97" s="3"/>
      <c r="AEM97" s="3"/>
      <c r="AEN97" s="3"/>
      <c r="AEO97" s="3"/>
      <c r="AEP97" s="3"/>
      <c r="AEQ97" s="3"/>
      <c r="AER97" s="3"/>
      <c r="AES97" s="3"/>
      <c r="AET97" s="3"/>
      <c r="AEU97" s="3"/>
      <c r="AEV97" s="3"/>
      <c r="AEW97" s="3"/>
      <c r="AEX97" s="3"/>
      <c r="AEY97" s="3"/>
      <c r="AEZ97" s="3"/>
      <c r="AFA97" s="3"/>
      <c r="AFB97" s="3"/>
      <c r="AFC97" s="3"/>
      <c r="AFD97" s="3"/>
      <c r="AFE97" s="3"/>
      <c r="AFF97" s="3"/>
      <c r="AFG97" s="3"/>
      <c r="AFH97" s="3"/>
      <c r="AFI97" s="3"/>
      <c r="AFJ97" s="3"/>
      <c r="AFK97" s="3"/>
      <c r="AFL97" s="3"/>
      <c r="AFM97" s="3"/>
      <c r="AFN97" s="3"/>
      <c r="AFO97" s="3"/>
      <c r="AFP97" s="3"/>
      <c r="AFQ97" s="3"/>
      <c r="AFR97" s="3"/>
      <c r="AFS97" s="3"/>
      <c r="AFT97" s="3"/>
      <c r="AFU97" s="3"/>
      <c r="AFV97" s="3"/>
      <c r="AFW97" s="3"/>
      <c r="AFX97" s="3"/>
      <c r="AFY97" s="3"/>
      <c r="AFZ97" s="3"/>
      <c r="AGA97" s="3"/>
      <c r="AGB97" s="3"/>
      <c r="AGC97" s="3"/>
      <c r="AGD97" s="3"/>
      <c r="AGE97" s="3"/>
      <c r="AGF97" s="3"/>
      <c r="AGG97" s="3"/>
      <c r="AGH97" s="3"/>
      <c r="AGI97" s="3"/>
      <c r="AGJ97" s="3"/>
      <c r="AGK97" s="3"/>
      <c r="AGL97" s="3"/>
      <c r="AGM97" s="3"/>
      <c r="AGN97" s="3"/>
      <c r="AGO97" s="3"/>
      <c r="AGP97" s="3"/>
      <c r="AGQ97" s="3"/>
      <c r="AGR97" s="3"/>
      <c r="AGS97" s="3"/>
      <c r="AGT97" s="3"/>
      <c r="AGU97" s="3"/>
      <c r="AGV97" s="3"/>
      <c r="AGW97" s="3"/>
      <c r="AGX97" s="3"/>
      <c r="AGY97" s="3"/>
      <c r="AGZ97" s="3"/>
      <c r="AHA97" s="3"/>
      <c r="AHB97" s="3"/>
      <c r="AHC97" s="3"/>
      <c r="AHD97" s="3"/>
      <c r="AHE97" s="3"/>
      <c r="AHF97" s="3"/>
      <c r="AHG97" s="3"/>
      <c r="AHH97" s="3"/>
      <c r="AHI97" s="3"/>
      <c r="AHJ97" s="3"/>
      <c r="AHK97" s="3"/>
      <c r="AHL97" s="3"/>
      <c r="AHM97" s="3"/>
      <c r="AHN97" s="3"/>
      <c r="AHO97" s="3"/>
      <c r="AHP97" s="3"/>
      <c r="AHQ97" s="3"/>
      <c r="AHR97" s="3"/>
      <c r="AHS97" s="3"/>
      <c r="AHT97" s="3"/>
      <c r="AHU97" s="3"/>
      <c r="AHV97" s="3"/>
      <c r="AHW97" s="3"/>
      <c r="AHX97" s="3"/>
      <c r="AHY97" s="3"/>
      <c r="AHZ97" s="3"/>
      <c r="AIA97" s="3"/>
      <c r="AIB97" s="3"/>
      <c r="AIC97" s="3"/>
      <c r="AID97" s="3"/>
      <c r="AIE97" s="3"/>
      <c r="AIF97" s="3"/>
      <c r="AIG97" s="3"/>
      <c r="AIH97" s="3"/>
      <c r="AII97" s="3"/>
      <c r="AIJ97" s="3"/>
      <c r="AIK97" s="3"/>
      <c r="AIL97" s="3"/>
      <c r="AIM97" s="3"/>
      <c r="AIN97" s="3"/>
      <c r="AIO97" s="3"/>
      <c r="AIP97" s="3"/>
      <c r="AIQ97" s="3"/>
      <c r="AIR97" s="3"/>
      <c r="AIS97" s="3"/>
      <c r="AIT97" s="3"/>
      <c r="AIU97" s="3"/>
      <c r="AIV97" s="3"/>
      <c r="AIW97" s="3"/>
      <c r="AIX97" s="3"/>
      <c r="AIY97" s="3"/>
      <c r="AIZ97" s="3"/>
      <c r="AJA97" s="3"/>
      <c r="AJB97" s="3"/>
      <c r="AJC97" s="3"/>
      <c r="AJD97" s="3"/>
      <c r="AJE97" s="3"/>
      <c r="AJF97" s="3"/>
      <c r="AJG97" s="3"/>
      <c r="AJH97" s="3"/>
      <c r="AJI97" s="3"/>
      <c r="AJJ97" s="3"/>
      <c r="AJK97" s="3"/>
      <c r="AJL97" s="3"/>
      <c r="AJM97" s="3"/>
      <c r="AJN97" s="3"/>
      <c r="AJO97" s="3"/>
      <c r="AJP97" s="3"/>
      <c r="AJQ97" s="3"/>
      <c r="AJR97" s="3"/>
      <c r="AJS97" s="3"/>
      <c r="AJT97" s="3"/>
      <c r="AJU97" s="3"/>
      <c r="AJV97" s="3"/>
      <c r="AJW97" s="3"/>
      <c r="AJX97" s="3"/>
      <c r="AJY97" s="3"/>
      <c r="AJZ97" s="3"/>
      <c r="AKA97" s="3"/>
      <c r="AKB97" s="3"/>
      <c r="AKC97" s="3"/>
      <c r="AKD97" s="3"/>
      <c r="AKE97" s="3"/>
      <c r="AKF97" s="3"/>
      <c r="AKG97" s="3"/>
      <c r="AKH97" s="3"/>
      <c r="AKI97" s="3"/>
      <c r="AKJ97" s="3"/>
      <c r="AKK97" s="3"/>
      <c r="AKL97" s="3"/>
      <c r="AKM97" s="3"/>
      <c r="AKN97" s="3"/>
      <c r="AKO97" s="3"/>
      <c r="AKP97" s="3"/>
      <c r="AKQ97" s="3"/>
      <c r="AKR97" s="3"/>
      <c r="AKS97" s="3"/>
      <c r="AKT97" s="3"/>
      <c r="AKU97" s="3"/>
      <c r="AKV97" s="3"/>
      <c r="AKW97" s="3"/>
      <c r="AKX97" s="3"/>
      <c r="AKY97" s="3"/>
      <c r="AKZ97" s="3"/>
      <c r="ALA97" s="3"/>
      <c r="ALB97" s="3"/>
      <c r="ALC97" s="3"/>
      <c r="ALD97" s="3"/>
      <c r="ALE97" s="3"/>
      <c r="ALF97" s="3"/>
      <c r="ALG97" s="3"/>
      <c r="ALH97" s="3"/>
      <c r="ALI97" s="3"/>
      <c r="ALJ97" s="3"/>
      <c r="ALK97" s="3"/>
      <c r="ALL97" s="3"/>
      <c r="ALM97" s="3"/>
      <c r="ALN97" s="3"/>
      <c r="ALO97" s="3"/>
      <c r="ALP97" s="3"/>
      <c r="ALQ97" s="3"/>
      <c r="ALR97" s="3"/>
      <c r="ALS97" s="3"/>
      <c r="ALT97" s="3"/>
      <c r="ALU97" s="3"/>
      <c r="ALV97" s="3"/>
      <c r="ALW97" s="3"/>
      <c r="ALX97" s="3"/>
      <c r="ALY97" s="3"/>
      <c r="ALZ97" s="3"/>
      <c r="AMA97" s="3"/>
      <c r="AMB97" s="3"/>
      <c r="AMC97" s="3"/>
      <c r="AMD97" s="3"/>
      <c r="AME97" s="3"/>
      <c r="AMF97" s="3"/>
      <c r="AMG97" s="3"/>
      <c r="AMH97" s="3"/>
      <c r="AMI97" s="3"/>
      <c r="AMJ97" s="3"/>
      <c r="AMK97" s="3"/>
      <c r="AML97" s="3"/>
      <c r="AMM97" s="3"/>
      <c r="AMN97" s="3"/>
      <c r="AMO97" s="3"/>
      <c r="AMP97" s="3"/>
      <c r="AMQ97" s="3"/>
      <c r="AMR97" s="3"/>
      <c r="AMS97" s="3"/>
      <c r="AMT97" s="3"/>
      <c r="AMU97" s="3"/>
      <c r="AMV97" s="3"/>
      <c r="AMW97" s="3"/>
      <c r="AMX97" s="3"/>
      <c r="AMY97" s="3"/>
      <c r="AMZ97" s="3"/>
      <c r="ANA97" s="3"/>
      <c r="ANB97" s="3"/>
      <c r="ANC97" s="3"/>
      <c r="AND97" s="3"/>
      <c r="ANE97" s="3"/>
      <c r="ANF97" s="3"/>
      <c r="ANG97" s="3"/>
      <c r="ANH97" s="3"/>
      <c r="ANI97" s="3"/>
      <c r="ANJ97" s="3"/>
      <c r="ANK97" s="3"/>
      <c r="ANL97" s="3"/>
      <c r="ANM97" s="3"/>
      <c r="ANN97" s="3"/>
      <c r="ANO97" s="3"/>
      <c r="ANP97" s="3"/>
      <c r="ANQ97" s="3"/>
      <c r="ANR97" s="3"/>
      <c r="ANS97" s="3"/>
      <c r="ANT97" s="3"/>
      <c r="ANU97" s="3"/>
      <c r="ANV97" s="3"/>
      <c r="ANW97" s="3"/>
      <c r="ANX97" s="3"/>
      <c r="ANY97" s="3"/>
      <c r="ANZ97" s="3"/>
      <c r="AOA97" s="3"/>
      <c r="AOB97" s="3"/>
      <c r="AOC97" s="3"/>
      <c r="AOD97" s="3"/>
      <c r="AOE97" s="3"/>
      <c r="AOF97" s="3"/>
      <c r="AOG97" s="3"/>
      <c r="AOH97" s="3"/>
      <c r="AOI97" s="3"/>
      <c r="AOJ97" s="3"/>
      <c r="AOK97" s="3"/>
      <c r="AOL97" s="3"/>
      <c r="AOM97" s="3"/>
      <c r="AON97" s="3"/>
      <c r="AOO97" s="3"/>
      <c r="AOP97" s="3"/>
      <c r="AOQ97" s="3"/>
      <c r="AOR97" s="3"/>
      <c r="AOS97" s="3"/>
      <c r="AOT97" s="3"/>
      <c r="AOU97" s="3"/>
      <c r="AOV97" s="3"/>
      <c r="AOW97" s="3"/>
      <c r="AOX97" s="3"/>
      <c r="AOY97" s="3"/>
      <c r="AOZ97" s="3"/>
      <c r="APA97" s="3"/>
      <c r="APB97" s="3"/>
      <c r="APC97" s="3"/>
      <c r="APD97" s="3"/>
      <c r="APE97" s="3"/>
      <c r="APF97" s="3"/>
      <c r="APG97" s="3"/>
      <c r="APH97" s="3"/>
      <c r="API97" s="3"/>
      <c r="APJ97" s="3"/>
      <c r="APK97" s="3"/>
      <c r="APL97" s="3"/>
      <c r="APM97" s="3"/>
      <c r="APN97" s="3"/>
      <c r="APO97" s="3"/>
      <c r="APP97" s="3"/>
      <c r="APQ97" s="3"/>
      <c r="APR97" s="3"/>
      <c r="APS97" s="3"/>
      <c r="APT97" s="3"/>
      <c r="APU97" s="3"/>
      <c r="APV97" s="3"/>
      <c r="APW97" s="3"/>
      <c r="APX97" s="3"/>
      <c r="APY97" s="3"/>
      <c r="APZ97" s="3"/>
      <c r="AQA97" s="3"/>
      <c r="AQB97" s="3"/>
      <c r="AQC97" s="3"/>
      <c r="AQD97" s="3"/>
      <c r="AQE97" s="3"/>
      <c r="AQF97" s="3"/>
      <c r="AQG97" s="3"/>
      <c r="AQH97" s="3"/>
      <c r="AQI97" s="3"/>
      <c r="AQJ97" s="3"/>
      <c r="AQK97" s="3"/>
      <c r="AQL97" s="3"/>
      <c r="AQM97" s="3"/>
      <c r="AQN97" s="3"/>
      <c r="AQO97" s="3"/>
      <c r="AQP97" s="3"/>
      <c r="AQQ97" s="3"/>
      <c r="AQR97" s="3"/>
      <c r="AQS97" s="3"/>
      <c r="AQT97" s="3"/>
      <c r="AQU97" s="3"/>
      <c r="AQV97" s="3"/>
      <c r="AQW97" s="3"/>
      <c r="AQX97" s="3"/>
      <c r="AQY97" s="3"/>
      <c r="AQZ97" s="3"/>
      <c r="ARA97" s="3"/>
      <c r="ARB97" s="3"/>
      <c r="ARC97" s="3"/>
      <c r="ARD97" s="3"/>
      <c r="ARE97" s="3"/>
      <c r="ARF97" s="3"/>
      <c r="ARG97" s="3"/>
      <c r="ARH97" s="3"/>
      <c r="ARI97" s="3"/>
      <c r="ARJ97" s="3"/>
      <c r="ARK97" s="3"/>
      <c r="ARL97" s="3"/>
      <c r="ARM97" s="3"/>
      <c r="ARN97" s="3"/>
      <c r="ARO97" s="3"/>
      <c r="ARP97" s="3"/>
      <c r="ARQ97" s="3"/>
      <c r="ARR97" s="3"/>
      <c r="ARS97" s="3"/>
      <c r="ART97" s="3"/>
      <c r="ARU97" s="3"/>
      <c r="ARV97" s="3"/>
      <c r="ARW97" s="3"/>
      <c r="ARX97" s="3"/>
      <c r="ARY97" s="3"/>
      <c r="ARZ97" s="3"/>
      <c r="ASA97" s="3"/>
      <c r="ASB97" s="3"/>
      <c r="ASC97" s="3"/>
      <c r="ASD97" s="3"/>
      <c r="ASE97" s="3"/>
      <c r="ASF97" s="3"/>
      <c r="ASG97" s="3"/>
      <c r="ASH97" s="3"/>
      <c r="ASI97" s="3"/>
      <c r="ASJ97" s="3"/>
      <c r="ASK97" s="3"/>
      <c r="ASL97" s="3"/>
      <c r="ASM97" s="3"/>
      <c r="ASN97" s="3"/>
      <c r="ASO97" s="3"/>
      <c r="ASP97" s="3"/>
      <c r="ASQ97" s="3"/>
      <c r="ASR97" s="3"/>
      <c r="ASS97" s="3"/>
      <c r="AST97" s="3"/>
      <c r="ASU97" s="3"/>
      <c r="ASV97" s="3"/>
      <c r="ASW97" s="3"/>
      <c r="ASX97" s="3"/>
      <c r="ASY97" s="3"/>
      <c r="ASZ97" s="3"/>
      <c r="ATA97" s="3"/>
      <c r="ATB97" s="3"/>
      <c r="ATC97" s="3"/>
      <c r="ATD97" s="3"/>
      <c r="ATE97" s="3"/>
      <c r="ATF97" s="3"/>
      <c r="ATG97" s="3"/>
      <c r="ATH97" s="3"/>
      <c r="ATI97" s="3"/>
      <c r="ATJ97" s="3"/>
      <c r="ATK97" s="3"/>
      <c r="ATL97" s="3"/>
      <c r="ATM97" s="3"/>
      <c r="ATN97" s="3"/>
      <c r="ATO97" s="3"/>
      <c r="ATP97" s="3"/>
      <c r="ATQ97" s="3"/>
      <c r="ATR97" s="3"/>
      <c r="ATS97" s="3"/>
      <c r="ATT97" s="3"/>
      <c r="ATU97" s="3"/>
      <c r="ATV97" s="3"/>
      <c r="ATW97" s="3"/>
      <c r="ATX97" s="3"/>
      <c r="ATY97" s="3"/>
      <c r="ATZ97" s="3"/>
      <c r="AUA97" s="3"/>
      <c r="AUB97" s="3"/>
      <c r="AUC97" s="3"/>
      <c r="AUD97" s="3"/>
      <c r="AUE97" s="3"/>
      <c r="AUF97" s="3"/>
      <c r="AUG97" s="3"/>
      <c r="AUH97" s="3"/>
      <c r="AUI97" s="3"/>
      <c r="AUJ97" s="3"/>
      <c r="AUK97" s="3"/>
      <c r="AUL97" s="3"/>
      <c r="AUM97" s="3"/>
      <c r="AUN97" s="3"/>
      <c r="AUO97" s="3"/>
      <c r="AUP97" s="3"/>
      <c r="AUQ97" s="3"/>
      <c r="AUR97" s="3"/>
      <c r="AUS97" s="3"/>
      <c r="AUT97" s="3"/>
      <c r="AUU97" s="3"/>
      <c r="AUV97" s="3"/>
      <c r="AUW97" s="3"/>
      <c r="AUX97" s="3"/>
      <c r="AUY97" s="3"/>
      <c r="AUZ97" s="3"/>
      <c r="AVA97" s="3"/>
      <c r="AVB97" s="3"/>
      <c r="AVC97" s="3"/>
      <c r="AVD97" s="3"/>
      <c r="AVE97" s="3"/>
      <c r="AVF97" s="3"/>
      <c r="AVG97" s="3"/>
      <c r="AVH97" s="3"/>
      <c r="AVI97" s="3"/>
      <c r="AVJ97" s="3"/>
      <c r="AVK97" s="3"/>
      <c r="AVL97" s="3"/>
      <c r="AVM97" s="3"/>
      <c r="AVN97" s="3"/>
      <c r="AVO97" s="3"/>
      <c r="AVP97" s="3"/>
      <c r="AVQ97" s="3"/>
      <c r="AVR97" s="3"/>
      <c r="AVS97" s="3"/>
      <c r="AVT97" s="3"/>
      <c r="AVU97" s="3"/>
      <c r="AVV97" s="3"/>
      <c r="AVW97" s="3"/>
      <c r="AVX97" s="3"/>
      <c r="AVY97" s="3"/>
      <c r="AVZ97" s="3"/>
      <c r="AWA97" s="3"/>
      <c r="AWB97" s="3"/>
      <c r="AWC97" s="3"/>
      <c r="AWD97" s="3"/>
      <c r="AWE97" s="3"/>
      <c r="AWF97" s="3"/>
      <c r="AWG97" s="3"/>
      <c r="AWH97" s="3"/>
      <c r="AWI97" s="3"/>
      <c r="AWJ97" s="3"/>
      <c r="AWK97" s="3"/>
      <c r="AWL97" s="3"/>
      <c r="AWM97" s="3"/>
      <c r="AWN97" s="3"/>
      <c r="AWO97" s="3"/>
      <c r="AWP97" s="3"/>
      <c r="AWQ97" s="3"/>
      <c r="AWR97" s="3"/>
      <c r="AWS97" s="3"/>
      <c r="AWT97" s="3"/>
      <c r="AWU97" s="3"/>
      <c r="AWV97" s="3"/>
      <c r="AWW97" s="3"/>
      <c r="AWX97" s="3"/>
      <c r="AWY97" s="3"/>
      <c r="AWZ97" s="3"/>
      <c r="AXA97" s="3"/>
      <c r="AXB97" s="3"/>
      <c r="AXC97" s="3"/>
      <c r="AXD97" s="3"/>
      <c r="AXE97" s="3"/>
      <c r="AXF97" s="3"/>
      <c r="AXG97" s="3"/>
      <c r="AXH97" s="3"/>
      <c r="AXI97" s="3"/>
      <c r="AXJ97" s="3"/>
      <c r="AXK97" s="3"/>
      <c r="AXL97" s="3"/>
      <c r="AXM97" s="3"/>
      <c r="AXN97" s="3"/>
      <c r="AXO97" s="3"/>
      <c r="AXP97" s="3"/>
      <c r="AXQ97" s="3"/>
      <c r="AXR97" s="3"/>
      <c r="AXS97" s="3"/>
      <c r="AXT97" s="3"/>
      <c r="AXU97" s="3"/>
      <c r="AXV97" s="3"/>
      <c r="AXW97" s="3"/>
      <c r="AXX97" s="3"/>
      <c r="AXY97" s="3"/>
      <c r="AXZ97" s="3"/>
      <c r="AYA97" s="3"/>
      <c r="AYB97" s="3"/>
      <c r="AYC97" s="3"/>
      <c r="AYD97" s="3"/>
      <c r="AYE97" s="3"/>
      <c r="AYF97" s="3"/>
      <c r="AYG97" s="3"/>
      <c r="AYH97" s="3"/>
      <c r="AYI97" s="3"/>
      <c r="AYJ97" s="3"/>
      <c r="AYK97" s="3"/>
      <c r="AYL97" s="3"/>
      <c r="AYM97" s="3"/>
      <c r="AYN97" s="3"/>
      <c r="AYO97" s="3"/>
      <c r="AYP97" s="3"/>
      <c r="AYQ97" s="3"/>
      <c r="AYR97" s="3"/>
      <c r="AYS97" s="3"/>
      <c r="AYT97" s="3"/>
      <c r="AYU97" s="3"/>
      <c r="AYV97" s="3"/>
      <c r="AYW97" s="3"/>
      <c r="AYX97" s="3"/>
      <c r="AYY97" s="3"/>
      <c r="AYZ97" s="3"/>
      <c r="AZA97" s="3"/>
      <c r="AZB97" s="3"/>
      <c r="AZC97" s="3"/>
      <c r="AZD97" s="3"/>
      <c r="AZE97" s="3"/>
      <c r="AZF97" s="3"/>
      <c r="AZG97" s="3"/>
      <c r="AZH97" s="3"/>
      <c r="AZI97" s="3"/>
      <c r="AZJ97" s="3"/>
      <c r="AZK97" s="3"/>
      <c r="AZL97" s="3"/>
      <c r="AZM97" s="3"/>
      <c r="AZN97" s="3"/>
      <c r="AZO97" s="3"/>
      <c r="AZP97" s="3"/>
      <c r="AZQ97" s="3"/>
      <c r="AZR97" s="3"/>
      <c r="AZS97" s="3"/>
      <c r="AZT97" s="3"/>
      <c r="AZU97" s="3"/>
      <c r="AZV97" s="3"/>
      <c r="AZW97" s="3"/>
      <c r="AZX97" s="3"/>
      <c r="AZY97" s="3"/>
      <c r="AZZ97" s="3"/>
      <c r="BAA97" s="3"/>
      <c r="BAB97" s="3"/>
      <c r="BAC97" s="3"/>
      <c r="BAD97" s="3"/>
      <c r="BAE97" s="3"/>
      <c r="BAF97" s="3"/>
      <c r="BAG97" s="3"/>
      <c r="BAH97" s="3"/>
      <c r="BAI97" s="3"/>
      <c r="BAJ97" s="3"/>
      <c r="BAK97" s="3"/>
      <c r="BAL97" s="3"/>
      <c r="BAM97" s="3"/>
      <c r="BAN97" s="3"/>
      <c r="BAO97" s="3"/>
      <c r="BAP97" s="3"/>
      <c r="BAQ97" s="3"/>
      <c r="BAR97" s="3"/>
      <c r="BAS97" s="3"/>
      <c r="BAT97" s="3"/>
      <c r="BAU97" s="3"/>
      <c r="BAV97" s="3"/>
      <c r="BAW97" s="3"/>
      <c r="BAX97" s="3"/>
      <c r="BAY97" s="3"/>
      <c r="BAZ97" s="3"/>
      <c r="BBA97" s="3"/>
      <c r="BBB97" s="3"/>
      <c r="BBC97" s="3"/>
      <c r="BBD97" s="3"/>
      <c r="BBE97" s="3"/>
      <c r="BBF97" s="3"/>
      <c r="BBG97" s="3"/>
      <c r="BBH97" s="3"/>
      <c r="BBI97" s="3"/>
      <c r="BBJ97" s="3"/>
      <c r="BBK97" s="3"/>
      <c r="BBL97" s="3"/>
      <c r="BBM97" s="3"/>
      <c r="BBN97" s="3"/>
      <c r="BBO97" s="3"/>
      <c r="BBP97" s="3"/>
      <c r="BBQ97" s="3"/>
      <c r="BBR97" s="3"/>
      <c r="BBS97" s="3"/>
      <c r="BBT97" s="3"/>
      <c r="BBU97" s="3"/>
      <c r="BBV97" s="3"/>
      <c r="BBW97" s="3"/>
      <c r="BBX97" s="3"/>
      <c r="BBY97" s="3"/>
      <c r="BBZ97" s="3"/>
      <c r="BCA97" s="3"/>
    </row>
    <row r="98" spans="1:1671" x14ac:dyDescent="0.25">
      <c r="A98" s="26" t="s">
        <v>126</v>
      </c>
      <c r="B98" s="27"/>
      <c r="C98" s="10">
        <f>AVERAGE(logistics!B19:K19)</f>
        <v>1.4508100000000001E-5</v>
      </c>
      <c r="D98" s="11">
        <f>AVERAGE(logistics!B48:K48)</f>
        <v>1.2127999999999998E-6</v>
      </c>
      <c r="E98" s="15">
        <f t="shared" si="2"/>
        <v>1.6914171580507478</v>
      </c>
      <c r="F98" s="15">
        <f t="shared" si="3"/>
        <v>10.962483509234831</v>
      </c>
      <c r="G98" s="6" t="s">
        <v>36</v>
      </c>
      <c r="H98" s="18">
        <v>1.7621177327892978</v>
      </c>
      <c r="I98" s="3"/>
      <c r="J98" s="6" t="s">
        <v>36</v>
      </c>
      <c r="K98" s="18">
        <v>14.815040679165195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  <c r="DK98" s="3"/>
      <c r="DL98" s="3"/>
      <c r="DM98" s="3"/>
      <c r="DN98" s="3"/>
      <c r="DO98" s="3"/>
      <c r="DP98" s="3"/>
      <c r="DQ98" s="3"/>
      <c r="DR98" s="3"/>
      <c r="DS98" s="3"/>
      <c r="DT98" s="3"/>
      <c r="DU98" s="3"/>
      <c r="DV98" s="3"/>
      <c r="DW98" s="3"/>
      <c r="DX98" s="3"/>
      <c r="DY98" s="3"/>
      <c r="DZ98" s="3"/>
      <c r="EA98" s="3"/>
      <c r="EB98" s="3"/>
      <c r="EC98" s="3"/>
      <c r="ED98" s="3"/>
      <c r="EE98" s="3"/>
      <c r="EF98" s="3"/>
      <c r="EG98" s="3"/>
      <c r="EH98" s="3"/>
      <c r="EI98" s="3"/>
      <c r="EJ98" s="3"/>
      <c r="EK98" s="3"/>
      <c r="EL98" s="3"/>
      <c r="EM98" s="3"/>
      <c r="EN98" s="3"/>
      <c r="EO98" s="3"/>
      <c r="EP98" s="3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  <c r="FH98" s="3"/>
      <c r="FI98" s="3"/>
      <c r="FJ98" s="3"/>
      <c r="FK98" s="3"/>
      <c r="FL98" s="3"/>
      <c r="FM98" s="3"/>
      <c r="FN98" s="3"/>
      <c r="FO98" s="3"/>
      <c r="FP98" s="3"/>
      <c r="FQ98" s="3"/>
      <c r="FR98" s="3"/>
      <c r="FS98" s="3"/>
      <c r="FT98" s="3"/>
      <c r="FU98" s="3"/>
      <c r="FV98" s="3"/>
      <c r="FW98" s="3"/>
      <c r="FX98" s="3"/>
      <c r="FY98" s="3"/>
      <c r="FZ98" s="3"/>
      <c r="GA98" s="3"/>
      <c r="GB98" s="3"/>
      <c r="GC98" s="3"/>
      <c r="GD98" s="3"/>
      <c r="GE98" s="3"/>
      <c r="GF98" s="3"/>
      <c r="GG98" s="3"/>
      <c r="GH98" s="3"/>
      <c r="GI98" s="3"/>
      <c r="GJ98" s="3"/>
      <c r="GK98" s="3"/>
      <c r="GL98" s="3"/>
      <c r="GM98" s="3"/>
      <c r="GN98" s="3"/>
      <c r="GO98" s="3"/>
      <c r="GP98" s="3"/>
      <c r="GQ98" s="3"/>
      <c r="GR98" s="3"/>
      <c r="GS98" s="3"/>
      <c r="GT98" s="3"/>
      <c r="GU98" s="3"/>
      <c r="GV98" s="3"/>
      <c r="GW98" s="3"/>
      <c r="GX98" s="3"/>
      <c r="GY98" s="3"/>
      <c r="GZ98" s="3"/>
      <c r="HA98" s="3"/>
      <c r="HB98" s="3"/>
      <c r="HC98" s="3"/>
      <c r="HD98" s="3"/>
      <c r="HE98" s="3"/>
      <c r="HF98" s="3"/>
      <c r="HG98" s="3"/>
      <c r="HH98" s="3"/>
      <c r="HI98" s="3"/>
      <c r="HJ98" s="3"/>
      <c r="HK98" s="3"/>
      <c r="HL98" s="3"/>
      <c r="HM98" s="3"/>
      <c r="HN98" s="3"/>
      <c r="HO98" s="3"/>
      <c r="HP98" s="3"/>
      <c r="HQ98" s="3"/>
      <c r="HR98" s="3"/>
      <c r="HS98" s="3"/>
      <c r="HT98" s="3"/>
      <c r="HU98" s="3"/>
      <c r="HV98" s="3"/>
      <c r="HW98" s="3"/>
      <c r="HX98" s="3"/>
      <c r="HY98" s="3"/>
      <c r="HZ98" s="3"/>
      <c r="IA98" s="3"/>
      <c r="IB98" s="3"/>
      <c r="IC98" s="3"/>
      <c r="ID98" s="3"/>
      <c r="IE98" s="3"/>
      <c r="IF98" s="3"/>
      <c r="IG98" s="3"/>
      <c r="IH98" s="3"/>
      <c r="II98" s="3"/>
      <c r="IJ98" s="3"/>
      <c r="IK98" s="3"/>
      <c r="IL98" s="3"/>
      <c r="IM98" s="3"/>
      <c r="IN98" s="3"/>
      <c r="IO98" s="3"/>
      <c r="IP98" s="3"/>
      <c r="IQ98" s="3"/>
      <c r="IR98" s="3"/>
      <c r="IS98" s="3"/>
      <c r="IT98" s="3"/>
      <c r="IU98" s="3"/>
      <c r="IV98" s="3"/>
      <c r="IW98" s="3"/>
      <c r="IX98" s="3"/>
      <c r="IY98" s="3"/>
      <c r="IZ98" s="3"/>
      <c r="JA98" s="3"/>
      <c r="JB98" s="3"/>
      <c r="JC98" s="3"/>
      <c r="JD98" s="3"/>
      <c r="JE98" s="3"/>
      <c r="JF98" s="3"/>
      <c r="JG98" s="3"/>
      <c r="JH98" s="3"/>
      <c r="JI98" s="3"/>
      <c r="JJ98" s="3"/>
      <c r="JK98" s="3"/>
      <c r="JL98" s="3"/>
      <c r="JM98" s="3"/>
      <c r="JN98" s="3"/>
      <c r="JO98" s="3"/>
      <c r="JP98" s="3"/>
      <c r="JQ98" s="3"/>
      <c r="JR98" s="3"/>
      <c r="JS98" s="3"/>
      <c r="JT98" s="3"/>
      <c r="JU98" s="3"/>
      <c r="JV98" s="3"/>
      <c r="JW98" s="3"/>
      <c r="JX98" s="3"/>
      <c r="JY98" s="3"/>
      <c r="JZ98" s="3"/>
      <c r="KA98" s="3"/>
      <c r="KB98" s="3"/>
      <c r="KC98" s="3"/>
      <c r="KD98" s="3"/>
      <c r="KE98" s="3"/>
      <c r="KF98" s="3"/>
      <c r="KG98" s="3"/>
      <c r="KH98" s="3"/>
      <c r="KI98" s="3"/>
      <c r="KJ98" s="3"/>
      <c r="KK98" s="3"/>
      <c r="KL98" s="3"/>
      <c r="KM98" s="3"/>
      <c r="KN98" s="3"/>
      <c r="KO98" s="3"/>
      <c r="KP98" s="3"/>
      <c r="KQ98" s="3"/>
      <c r="KR98" s="3"/>
      <c r="KS98" s="3"/>
      <c r="KT98" s="3"/>
      <c r="KU98" s="3"/>
      <c r="KV98" s="3"/>
      <c r="KW98" s="3"/>
      <c r="KX98" s="3"/>
      <c r="KY98" s="3"/>
      <c r="KZ98" s="3"/>
      <c r="LA98" s="3"/>
      <c r="LB98" s="3"/>
      <c r="LC98" s="3"/>
      <c r="LD98" s="3"/>
      <c r="LE98" s="3"/>
      <c r="LF98" s="3"/>
      <c r="LG98" s="3"/>
      <c r="LH98" s="3"/>
      <c r="LI98" s="3"/>
      <c r="LJ98" s="3"/>
      <c r="LK98" s="3"/>
      <c r="LL98" s="3"/>
      <c r="LM98" s="3"/>
      <c r="LN98" s="3"/>
      <c r="LO98" s="3"/>
      <c r="LP98" s="3"/>
      <c r="LQ98" s="3"/>
      <c r="LR98" s="3"/>
      <c r="LS98" s="3"/>
      <c r="LT98" s="3"/>
      <c r="LU98" s="3"/>
      <c r="LV98" s="3"/>
      <c r="LW98" s="3"/>
      <c r="LX98" s="3"/>
      <c r="LY98" s="3"/>
      <c r="LZ98" s="3"/>
      <c r="MA98" s="3"/>
      <c r="MB98" s="3"/>
      <c r="MC98" s="3"/>
      <c r="MD98" s="3"/>
      <c r="ME98" s="3"/>
      <c r="MF98" s="3"/>
      <c r="MG98" s="3"/>
      <c r="MH98" s="3"/>
      <c r="MI98" s="3"/>
      <c r="MJ98" s="3"/>
      <c r="MK98" s="3"/>
      <c r="ML98" s="3"/>
      <c r="MM98" s="3"/>
      <c r="MN98" s="3"/>
      <c r="MO98" s="3"/>
      <c r="MP98" s="3"/>
      <c r="MQ98" s="3"/>
      <c r="MR98" s="3"/>
      <c r="MS98" s="3"/>
      <c r="MT98" s="3"/>
      <c r="MU98" s="3"/>
      <c r="MV98" s="3"/>
      <c r="MW98" s="3"/>
      <c r="MX98" s="3"/>
      <c r="MY98" s="3"/>
      <c r="MZ98" s="3"/>
      <c r="NA98" s="3"/>
      <c r="NB98" s="3"/>
      <c r="NC98" s="3"/>
      <c r="ND98" s="3"/>
      <c r="NE98" s="3"/>
      <c r="NF98" s="3"/>
      <c r="NG98" s="3"/>
      <c r="NH98" s="3"/>
      <c r="NI98" s="3"/>
      <c r="NJ98" s="3"/>
      <c r="NK98" s="3"/>
      <c r="NL98" s="3"/>
      <c r="NM98" s="3"/>
      <c r="NN98" s="3"/>
      <c r="NO98" s="3"/>
      <c r="NP98" s="3"/>
      <c r="NQ98" s="3"/>
      <c r="NR98" s="3"/>
      <c r="NS98" s="3"/>
      <c r="NT98" s="3"/>
      <c r="NU98" s="3"/>
      <c r="NV98" s="3"/>
      <c r="NW98" s="3"/>
      <c r="NX98" s="3"/>
      <c r="NY98" s="3"/>
      <c r="NZ98" s="3"/>
      <c r="OA98" s="3"/>
      <c r="OB98" s="3"/>
      <c r="OC98" s="3"/>
      <c r="OD98" s="3"/>
      <c r="OE98" s="3"/>
      <c r="OF98" s="3"/>
      <c r="OG98" s="3"/>
      <c r="OH98" s="3"/>
      <c r="OI98" s="3"/>
      <c r="OJ98" s="3"/>
      <c r="OK98" s="3"/>
      <c r="OL98" s="3"/>
      <c r="OM98" s="3"/>
      <c r="ON98" s="3"/>
      <c r="OO98" s="3"/>
      <c r="OP98" s="3"/>
      <c r="OQ98" s="3"/>
      <c r="OR98" s="3"/>
      <c r="OS98" s="3"/>
      <c r="OT98" s="3"/>
      <c r="OU98" s="3"/>
      <c r="OV98" s="3"/>
      <c r="OW98" s="3"/>
      <c r="OX98" s="3"/>
      <c r="OY98" s="3"/>
      <c r="OZ98" s="3"/>
      <c r="PA98" s="3"/>
      <c r="PB98" s="3"/>
      <c r="PC98" s="3"/>
      <c r="PD98" s="3"/>
      <c r="PE98" s="3"/>
      <c r="PF98" s="3"/>
      <c r="PG98" s="3"/>
      <c r="PH98" s="3"/>
      <c r="PI98" s="3"/>
      <c r="PJ98" s="3"/>
      <c r="PK98" s="3"/>
      <c r="PL98" s="3"/>
      <c r="PM98" s="3"/>
      <c r="PN98" s="3"/>
      <c r="PO98" s="3"/>
      <c r="PP98" s="3"/>
      <c r="PQ98" s="3"/>
      <c r="PR98" s="3"/>
      <c r="PS98" s="3"/>
      <c r="PT98" s="3"/>
      <c r="PU98" s="3"/>
      <c r="PV98" s="3"/>
      <c r="PW98" s="3"/>
      <c r="PX98" s="3"/>
      <c r="PY98" s="3"/>
      <c r="PZ98" s="3"/>
      <c r="QA98" s="3"/>
      <c r="QB98" s="3"/>
      <c r="QC98" s="3"/>
      <c r="QD98" s="3"/>
      <c r="QE98" s="3"/>
      <c r="QF98" s="3"/>
      <c r="QG98" s="3"/>
      <c r="QH98" s="3"/>
      <c r="QI98" s="3"/>
      <c r="QJ98" s="3"/>
      <c r="QK98" s="3"/>
      <c r="QL98" s="3"/>
      <c r="QM98" s="3"/>
      <c r="QN98" s="3"/>
      <c r="QO98" s="3"/>
      <c r="QP98" s="3"/>
      <c r="QQ98" s="3"/>
      <c r="QR98" s="3"/>
      <c r="QS98" s="3"/>
      <c r="QT98" s="3"/>
      <c r="QU98" s="3"/>
      <c r="QV98" s="3"/>
      <c r="QW98" s="3"/>
      <c r="QX98" s="3"/>
      <c r="QY98" s="3"/>
      <c r="QZ98" s="3"/>
      <c r="RA98" s="3"/>
      <c r="RB98" s="3"/>
      <c r="RC98" s="3"/>
      <c r="RD98" s="3"/>
      <c r="RE98" s="3"/>
      <c r="RF98" s="3"/>
      <c r="RG98" s="3"/>
      <c r="RH98" s="3"/>
      <c r="RI98" s="3"/>
      <c r="RJ98" s="3"/>
      <c r="RK98" s="3"/>
      <c r="RL98" s="3"/>
      <c r="RM98" s="3"/>
      <c r="RN98" s="3"/>
      <c r="RO98" s="3"/>
      <c r="RP98" s="3"/>
      <c r="RQ98" s="3"/>
      <c r="RR98" s="3"/>
      <c r="RS98" s="3"/>
      <c r="RT98" s="3"/>
      <c r="RU98" s="3"/>
      <c r="RV98" s="3"/>
      <c r="RW98" s="3"/>
      <c r="RX98" s="3"/>
      <c r="RY98" s="3"/>
      <c r="RZ98" s="3"/>
      <c r="SA98" s="3"/>
      <c r="SB98" s="3"/>
      <c r="SC98" s="3"/>
      <c r="SD98" s="3"/>
      <c r="SE98" s="3"/>
      <c r="SF98" s="3"/>
      <c r="SG98" s="3"/>
      <c r="SH98" s="3"/>
      <c r="SI98" s="3"/>
      <c r="SJ98" s="3"/>
      <c r="SK98" s="3"/>
      <c r="SL98" s="3"/>
      <c r="SM98" s="3"/>
      <c r="SN98" s="3"/>
      <c r="SO98" s="3"/>
      <c r="SP98" s="3"/>
      <c r="SQ98" s="3"/>
      <c r="SR98" s="3"/>
      <c r="SS98" s="3"/>
      <c r="ST98" s="3"/>
      <c r="SU98" s="3"/>
      <c r="SV98" s="3"/>
      <c r="SW98" s="3"/>
      <c r="SX98" s="3"/>
      <c r="SY98" s="3"/>
      <c r="SZ98" s="3"/>
      <c r="TA98" s="3"/>
      <c r="TB98" s="3"/>
      <c r="TC98" s="3"/>
      <c r="TD98" s="3"/>
      <c r="TE98" s="3"/>
      <c r="TF98" s="3"/>
      <c r="TG98" s="3"/>
      <c r="TH98" s="3"/>
      <c r="TI98" s="3"/>
      <c r="TJ98" s="3"/>
      <c r="TK98" s="3"/>
      <c r="TL98" s="3"/>
      <c r="TM98" s="3"/>
      <c r="TN98" s="3"/>
      <c r="TO98" s="3"/>
      <c r="TP98" s="3"/>
      <c r="TQ98" s="3"/>
      <c r="TR98" s="3"/>
      <c r="TS98" s="3"/>
      <c r="TT98" s="3"/>
      <c r="TU98" s="3"/>
      <c r="TV98" s="3"/>
      <c r="TW98" s="3"/>
      <c r="TX98" s="3"/>
      <c r="TY98" s="3"/>
      <c r="TZ98" s="3"/>
      <c r="UA98" s="3"/>
      <c r="UB98" s="3"/>
      <c r="UC98" s="3"/>
      <c r="UD98" s="3"/>
      <c r="UE98" s="3"/>
      <c r="UF98" s="3"/>
      <c r="UG98" s="3"/>
      <c r="UH98" s="3"/>
      <c r="UI98" s="3"/>
      <c r="UJ98" s="3"/>
      <c r="UK98" s="3"/>
      <c r="UL98" s="3"/>
      <c r="UM98" s="3"/>
      <c r="UN98" s="3"/>
      <c r="UO98" s="3"/>
      <c r="UP98" s="3"/>
      <c r="UQ98" s="3"/>
      <c r="UR98" s="3"/>
      <c r="US98" s="3"/>
      <c r="UT98" s="3"/>
      <c r="UU98" s="3"/>
      <c r="UV98" s="3"/>
      <c r="UW98" s="3"/>
      <c r="UX98" s="3"/>
      <c r="UY98" s="3"/>
      <c r="UZ98" s="3"/>
      <c r="VA98" s="3"/>
      <c r="VB98" s="3"/>
      <c r="VC98" s="3"/>
      <c r="VD98" s="3"/>
      <c r="VE98" s="3"/>
      <c r="VF98" s="3"/>
      <c r="VG98" s="3"/>
      <c r="VH98" s="3"/>
      <c r="VI98" s="3"/>
      <c r="VJ98" s="3"/>
      <c r="VK98" s="3"/>
      <c r="VL98" s="3"/>
      <c r="VM98" s="3"/>
      <c r="VN98" s="3"/>
      <c r="VO98" s="3"/>
      <c r="VP98" s="3"/>
      <c r="VQ98" s="3"/>
      <c r="VR98" s="3"/>
      <c r="VS98" s="3"/>
      <c r="VT98" s="3"/>
      <c r="VU98" s="3"/>
      <c r="VV98" s="3"/>
      <c r="VW98" s="3"/>
      <c r="VX98" s="3"/>
      <c r="VY98" s="3"/>
      <c r="VZ98" s="3"/>
      <c r="WA98" s="3"/>
      <c r="WB98" s="3"/>
      <c r="WC98" s="3"/>
      <c r="WD98" s="3"/>
      <c r="WE98" s="3"/>
      <c r="WF98" s="3"/>
      <c r="WG98" s="3"/>
      <c r="WH98" s="3"/>
      <c r="WI98" s="3"/>
      <c r="WJ98" s="3"/>
      <c r="WK98" s="3"/>
      <c r="WL98" s="3"/>
      <c r="WM98" s="3"/>
      <c r="WN98" s="3"/>
      <c r="WO98" s="3"/>
      <c r="WP98" s="3"/>
      <c r="WQ98" s="3"/>
      <c r="WR98" s="3"/>
      <c r="WS98" s="3"/>
      <c r="WT98" s="3"/>
      <c r="WU98" s="3"/>
      <c r="WV98" s="3"/>
      <c r="WW98" s="3"/>
      <c r="WX98" s="3"/>
      <c r="WY98" s="3"/>
      <c r="WZ98" s="3"/>
      <c r="XA98" s="3"/>
      <c r="XB98" s="3"/>
      <c r="XC98" s="3"/>
      <c r="XD98" s="3"/>
      <c r="XE98" s="3"/>
      <c r="XF98" s="3"/>
      <c r="XG98" s="3"/>
      <c r="XH98" s="3"/>
      <c r="XI98" s="3"/>
      <c r="XJ98" s="3"/>
      <c r="XK98" s="3"/>
      <c r="XL98" s="3"/>
      <c r="XM98" s="3"/>
      <c r="XN98" s="3"/>
      <c r="XO98" s="3"/>
      <c r="XP98" s="3"/>
      <c r="XQ98" s="3"/>
      <c r="XR98" s="3"/>
      <c r="XS98" s="3"/>
      <c r="XT98" s="3"/>
      <c r="XU98" s="3"/>
      <c r="XV98" s="3"/>
      <c r="XW98" s="3"/>
      <c r="XX98" s="3"/>
      <c r="XY98" s="3"/>
      <c r="XZ98" s="3"/>
      <c r="YA98" s="3"/>
      <c r="YB98" s="3"/>
      <c r="YC98" s="3"/>
      <c r="YD98" s="3"/>
      <c r="YE98" s="3"/>
      <c r="YF98" s="3"/>
      <c r="YG98" s="3"/>
      <c r="YH98" s="3"/>
      <c r="YI98" s="3"/>
      <c r="YJ98" s="3"/>
      <c r="YK98" s="3"/>
      <c r="YL98" s="3"/>
      <c r="YM98" s="3"/>
      <c r="YN98" s="3"/>
      <c r="YO98" s="3"/>
      <c r="YP98" s="3"/>
      <c r="YQ98" s="3"/>
      <c r="YR98" s="3"/>
      <c r="YS98" s="3"/>
      <c r="YT98" s="3"/>
      <c r="YU98" s="3"/>
      <c r="YV98" s="3"/>
      <c r="YW98" s="3"/>
      <c r="YX98" s="3"/>
      <c r="YY98" s="3"/>
      <c r="YZ98" s="3"/>
      <c r="ZA98" s="3"/>
      <c r="ZB98" s="3"/>
      <c r="ZC98" s="3"/>
      <c r="ZD98" s="3"/>
      <c r="ZE98" s="3"/>
      <c r="ZF98" s="3"/>
      <c r="ZG98" s="3"/>
      <c r="ZH98" s="3"/>
      <c r="ZI98" s="3"/>
      <c r="ZJ98" s="3"/>
      <c r="ZK98" s="3"/>
      <c r="ZL98" s="3"/>
      <c r="ZM98" s="3"/>
      <c r="ZN98" s="3"/>
      <c r="ZO98" s="3"/>
      <c r="ZP98" s="3"/>
      <c r="ZQ98" s="3"/>
      <c r="ZR98" s="3"/>
      <c r="ZS98" s="3"/>
      <c r="ZT98" s="3"/>
      <c r="ZU98" s="3"/>
      <c r="ZV98" s="3"/>
      <c r="ZW98" s="3"/>
      <c r="ZX98" s="3"/>
      <c r="ZY98" s="3"/>
      <c r="ZZ98" s="3"/>
      <c r="AAA98" s="3"/>
      <c r="AAB98" s="3"/>
      <c r="AAC98" s="3"/>
      <c r="AAD98" s="3"/>
      <c r="AAE98" s="3"/>
      <c r="AAF98" s="3"/>
      <c r="AAG98" s="3"/>
      <c r="AAH98" s="3"/>
      <c r="AAI98" s="3"/>
      <c r="AAJ98" s="3"/>
      <c r="AAK98" s="3"/>
      <c r="AAL98" s="3"/>
      <c r="AAM98" s="3"/>
      <c r="AAN98" s="3"/>
      <c r="AAO98" s="3"/>
      <c r="AAP98" s="3"/>
      <c r="AAQ98" s="3"/>
      <c r="AAR98" s="3"/>
      <c r="AAS98" s="3"/>
      <c r="AAT98" s="3"/>
      <c r="AAU98" s="3"/>
      <c r="AAV98" s="3"/>
      <c r="AAW98" s="3"/>
      <c r="AAX98" s="3"/>
      <c r="AAY98" s="3"/>
      <c r="AAZ98" s="3"/>
      <c r="ABA98" s="3"/>
      <c r="ABB98" s="3"/>
      <c r="ABC98" s="3"/>
      <c r="ABD98" s="3"/>
      <c r="ABE98" s="3"/>
      <c r="ABF98" s="3"/>
      <c r="ABG98" s="3"/>
      <c r="ABH98" s="3"/>
      <c r="ABI98" s="3"/>
      <c r="ABJ98" s="3"/>
      <c r="ABK98" s="3"/>
      <c r="ABL98" s="3"/>
      <c r="ABM98" s="3"/>
      <c r="ABN98" s="3"/>
      <c r="ABO98" s="3"/>
      <c r="ABP98" s="3"/>
      <c r="ABQ98" s="3"/>
      <c r="ABR98" s="3"/>
      <c r="ABS98" s="3"/>
      <c r="ABT98" s="3"/>
      <c r="ABU98" s="3"/>
      <c r="ABV98" s="3"/>
      <c r="ABW98" s="3"/>
      <c r="ABX98" s="3"/>
      <c r="ABY98" s="3"/>
      <c r="ABZ98" s="3"/>
      <c r="ACA98" s="3"/>
      <c r="ACB98" s="3"/>
      <c r="ACC98" s="3"/>
      <c r="ACD98" s="3"/>
      <c r="ACE98" s="3"/>
      <c r="ACF98" s="3"/>
      <c r="ACG98" s="3"/>
      <c r="ACH98" s="3"/>
      <c r="ACI98" s="3"/>
      <c r="ACJ98" s="3"/>
      <c r="ACK98" s="3"/>
      <c r="ACL98" s="3"/>
      <c r="ACM98" s="3"/>
      <c r="ACN98" s="3"/>
      <c r="ACO98" s="3"/>
      <c r="ACP98" s="3"/>
      <c r="ACQ98" s="3"/>
      <c r="ACR98" s="3"/>
      <c r="ACS98" s="3"/>
      <c r="ACT98" s="3"/>
      <c r="ACU98" s="3"/>
      <c r="ACV98" s="3"/>
      <c r="ACW98" s="3"/>
      <c r="ACX98" s="3"/>
      <c r="ACY98" s="3"/>
      <c r="ACZ98" s="3"/>
      <c r="ADA98" s="3"/>
      <c r="ADB98" s="3"/>
      <c r="ADC98" s="3"/>
      <c r="ADD98" s="3"/>
      <c r="ADE98" s="3"/>
      <c r="ADF98" s="3"/>
      <c r="ADG98" s="3"/>
      <c r="ADH98" s="3"/>
      <c r="ADI98" s="3"/>
      <c r="ADJ98" s="3"/>
      <c r="ADK98" s="3"/>
      <c r="ADL98" s="3"/>
      <c r="ADM98" s="3"/>
      <c r="ADN98" s="3"/>
      <c r="ADO98" s="3"/>
      <c r="ADP98" s="3"/>
      <c r="ADQ98" s="3"/>
      <c r="ADR98" s="3"/>
      <c r="ADS98" s="3"/>
      <c r="ADT98" s="3"/>
      <c r="ADU98" s="3"/>
      <c r="ADV98" s="3"/>
      <c r="ADW98" s="3"/>
      <c r="ADX98" s="3"/>
      <c r="ADY98" s="3"/>
      <c r="ADZ98" s="3"/>
      <c r="AEA98" s="3"/>
      <c r="AEB98" s="3"/>
      <c r="AEC98" s="3"/>
      <c r="AED98" s="3"/>
      <c r="AEE98" s="3"/>
      <c r="AEF98" s="3"/>
      <c r="AEG98" s="3"/>
      <c r="AEH98" s="3"/>
      <c r="AEI98" s="3"/>
      <c r="AEJ98" s="3"/>
      <c r="AEK98" s="3"/>
      <c r="AEL98" s="3"/>
      <c r="AEM98" s="3"/>
      <c r="AEN98" s="3"/>
      <c r="AEO98" s="3"/>
      <c r="AEP98" s="3"/>
      <c r="AEQ98" s="3"/>
      <c r="AER98" s="3"/>
      <c r="AES98" s="3"/>
      <c r="AET98" s="3"/>
      <c r="AEU98" s="3"/>
      <c r="AEV98" s="3"/>
      <c r="AEW98" s="3"/>
      <c r="AEX98" s="3"/>
      <c r="AEY98" s="3"/>
      <c r="AEZ98" s="3"/>
      <c r="AFA98" s="3"/>
      <c r="AFB98" s="3"/>
      <c r="AFC98" s="3"/>
      <c r="AFD98" s="3"/>
      <c r="AFE98" s="3"/>
      <c r="AFF98" s="3"/>
      <c r="AFG98" s="3"/>
      <c r="AFH98" s="3"/>
      <c r="AFI98" s="3"/>
      <c r="AFJ98" s="3"/>
      <c r="AFK98" s="3"/>
      <c r="AFL98" s="3"/>
      <c r="AFM98" s="3"/>
      <c r="AFN98" s="3"/>
      <c r="AFO98" s="3"/>
      <c r="AFP98" s="3"/>
      <c r="AFQ98" s="3"/>
      <c r="AFR98" s="3"/>
      <c r="AFS98" s="3"/>
      <c r="AFT98" s="3"/>
      <c r="AFU98" s="3"/>
      <c r="AFV98" s="3"/>
      <c r="AFW98" s="3"/>
      <c r="AFX98" s="3"/>
      <c r="AFY98" s="3"/>
      <c r="AFZ98" s="3"/>
      <c r="AGA98" s="3"/>
      <c r="AGB98" s="3"/>
      <c r="AGC98" s="3"/>
      <c r="AGD98" s="3"/>
      <c r="AGE98" s="3"/>
      <c r="AGF98" s="3"/>
      <c r="AGG98" s="3"/>
      <c r="AGH98" s="3"/>
      <c r="AGI98" s="3"/>
      <c r="AGJ98" s="3"/>
      <c r="AGK98" s="3"/>
      <c r="AGL98" s="3"/>
      <c r="AGM98" s="3"/>
      <c r="AGN98" s="3"/>
      <c r="AGO98" s="3"/>
      <c r="AGP98" s="3"/>
      <c r="AGQ98" s="3"/>
      <c r="AGR98" s="3"/>
      <c r="AGS98" s="3"/>
      <c r="AGT98" s="3"/>
      <c r="AGU98" s="3"/>
      <c r="AGV98" s="3"/>
      <c r="AGW98" s="3"/>
      <c r="AGX98" s="3"/>
      <c r="AGY98" s="3"/>
      <c r="AGZ98" s="3"/>
      <c r="AHA98" s="3"/>
      <c r="AHB98" s="3"/>
      <c r="AHC98" s="3"/>
      <c r="AHD98" s="3"/>
      <c r="AHE98" s="3"/>
      <c r="AHF98" s="3"/>
      <c r="AHG98" s="3"/>
      <c r="AHH98" s="3"/>
      <c r="AHI98" s="3"/>
      <c r="AHJ98" s="3"/>
      <c r="AHK98" s="3"/>
      <c r="AHL98" s="3"/>
      <c r="AHM98" s="3"/>
      <c r="AHN98" s="3"/>
      <c r="AHO98" s="3"/>
      <c r="AHP98" s="3"/>
      <c r="AHQ98" s="3"/>
      <c r="AHR98" s="3"/>
      <c r="AHS98" s="3"/>
      <c r="AHT98" s="3"/>
      <c r="AHU98" s="3"/>
      <c r="AHV98" s="3"/>
      <c r="AHW98" s="3"/>
      <c r="AHX98" s="3"/>
      <c r="AHY98" s="3"/>
      <c r="AHZ98" s="3"/>
      <c r="AIA98" s="3"/>
      <c r="AIB98" s="3"/>
      <c r="AIC98" s="3"/>
      <c r="AID98" s="3"/>
      <c r="AIE98" s="3"/>
      <c r="AIF98" s="3"/>
      <c r="AIG98" s="3"/>
      <c r="AIH98" s="3"/>
      <c r="AII98" s="3"/>
      <c r="AIJ98" s="3"/>
      <c r="AIK98" s="3"/>
      <c r="AIL98" s="3"/>
      <c r="AIM98" s="3"/>
      <c r="AIN98" s="3"/>
      <c r="AIO98" s="3"/>
      <c r="AIP98" s="3"/>
      <c r="AIQ98" s="3"/>
      <c r="AIR98" s="3"/>
      <c r="AIS98" s="3"/>
      <c r="AIT98" s="3"/>
      <c r="AIU98" s="3"/>
      <c r="AIV98" s="3"/>
      <c r="AIW98" s="3"/>
      <c r="AIX98" s="3"/>
      <c r="AIY98" s="3"/>
      <c r="AIZ98" s="3"/>
      <c r="AJA98" s="3"/>
      <c r="AJB98" s="3"/>
      <c r="AJC98" s="3"/>
      <c r="AJD98" s="3"/>
      <c r="AJE98" s="3"/>
      <c r="AJF98" s="3"/>
      <c r="AJG98" s="3"/>
      <c r="AJH98" s="3"/>
      <c r="AJI98" s="3"/>
      <c r="AJJ98" s="3"/>
      <c r="AJK98" s="3"/>
      <c r="AJL98" s="3"/>
      <c r="AJM98" s="3"/>
      <c r="AJN98" s="3"/>
      <c r="AJO98" s="3"/>
      <c r="AJP98" s="3"/>
      <c r="AJQ98" s="3"/>
      <c r="AJR98" s="3"/>
      <c r="AJS98" s="3"/>
      <c r="AJT98" s="3"/>
      <c r="AJU98" s="3"/>
      <c r="AJV98" s="3"/>
      <c r="AJW98" s="3"/>
      <c r="AJX98" s="3"/>
      <c r="AJY98" s="3"/>
      <c r="AJZ98" s="3"/>
      <c r="AKA98" s="3"/>
      <c r="AKB98" s="3"/>
      <c r="AKC98" s="3"/>
      <c r="AKD98" s="3"/>
      <c r="AKE98" s="3"/>
      <c r="AKF98" s="3"/>
      <c r="AKG98" s="3"/>
      <c r="AKH98" s="3"/>
      <c r="AKI98" s="3"/>
      <c r="AKJ98" s="3"/>
      <c r="AKK98" s="3"/>
      <c r="AKL98" s="3"/>
      <c r="AKM98" s="3"/>
      <c r="AKN98" s="3"/>
      <c r="AKO98" s="3"/>
      <c r="AKP98" s="3"/>
      <c r="AKQ98" s="3"/>
      <c r="AKR98" s="3"/>
      <c r="AKS98" s="3"/>
      <c r="AKT98" s="3"/>
      <c r="AKU98" s="3"/>
      <c r="AKV98" s="3"/>
      <c r="AKW98" s="3"/>
      <c r="AKX98" s="3"/>
      <c r="AKY98" s="3"/>
      <c r="AKZ98" s="3"/>
      <c r="ALA98" s="3"/>
      <c r="ALB98" s="3"/>
      <c r="ALC98" s="3"/>
      <c r="ALD98" s="3"/>
      <c r="ALE98" s="3"/>
      <c r="ALF98" s="3"/>
      <c r="ALG98" s="3"/>
      <c r="ALH98" s="3"/>
      <c r="ALI98" s="3"/>
      <c r="ALJ98" s="3"/>
      <c r="ALK98" s="3"/>
      <c r="ALL98" s="3"/>
      <c r="ALM98" s="3"/>
      <c r="ALN98" s="3"/>
      <c r="ALO98" s="3"/>
      <c r="ALP98" s="3"/>
      <c r="ALQ98" s="3"/>
      <c r="ALR98" s="3"/>
      <c r="ALS98" s="3"/>
      <c r="ALT98" s="3"/>
      <c r="ALU98" s="3"/>
      <c r="ALV98" s="3"/>
      <c r="ALW98" s="3"/>
      <c r="ALX98" s="3"/>
      <c r="ALY98" s="3"/>
      <c r="ALZ98" s="3"/>
      <c r="AMA98" s="3"/>
      <c r="AMB98" s="3"/>
      <c r="AMC98" s="3"/>
      <c r="AMD98" s="3"/>
      <c r="AME98" s="3"/>
      <c r="AMF98" s="3"/>
      <c r="AMG98" s="3"/>
      <c r="AMH98" s="3"/>
      <c r="AMI98" s="3"/>
      <c r="AMJ98" s="3"/>
      <c r="AMK98" s="3"/>
      <c r="AML98" s="3"/>
      <c r="AMM98" s="3"/>
      <c r="AMN98" s="3"/>
      <c r="AMO98" s="3"/>
      <c r="AMP98" s="3"/>
      <c r="AMQ98" s="3"/>
      <c r="AMR98" s="3"/>
      <c r="AMS98" s="3"/>
      <c r="AMT98" s="3"/>
      <c r="AMU98" s="3"/>
      <c r="AMV98" s="3"/>
      <c r="AMW98" s="3"/>
      <c r="AMX98" s="3"/>
      <c r="AMY98" s="3"/>
      <c r="AMZ98" s="3"/>
      <c r="ANA98" s="3"/>
      <c r="ANB98" s="3"/>
      <c r="ANC98" s="3"/>
      <c r="AND98" s="3"/>
      <c r="ANE98" s="3"/>
      <c r="ANF98" s="3"/>
      <c r="ANG98" s="3"/>
      <c r="ANH98" s="3"/>
      <c r="ANI98" s="3"/>
      <c r="ANJ98" s="3"/>
      <c r="ANK98" s="3"/>
      <c r="ANL98" s="3"/>
      <c r="ANM98" s="3"/>
      <c r="ANN98" s="3"/>
      <c r="ANO98" s="3"/>
      <c r="ANP98" s="3"/>
      <c r="ANQ98" s="3"/>
      <c r="ANR98" s="3"/>
      <c r="ANS98" s="3"/>
      <c r="ANT98" s="3"/>
      <c r="ANU98" s="3"/>
      <c r="ANV98" s="3"/>
      <c r="ANW98" s="3"/>
      <c r="ANX98" s="3"/>
      <c r="ANY98" s="3"/>
      <c r="ANZ98" s="3"/>
      <c r="AOA98" s="3"/>
      <c r="AOB98" s="3"/>
      <c r="AOC98" s="3"/>
      <c r="AOD98" s="3"/>
      <c r="AOE98" s="3"/>
      <c r="AOF98" s="3"/>
      <c r="AOG98" s="3"/>
      <c r="AOH98" s="3"/>
      <c r="AOI98" s="3"/>
      <c r="AOJ98" s="3"/>
      <c r="AOK98" s="3"/>
      <c r="AOL98" s="3"/>
      <c r="AOM98" s="3"/>
      <c r="AON98" s="3"/>
      <c r="AOO98" s="3"/>
      <c r="AOP98" s="3"/>
      <c r="AOQ98" s="3"/>
      <c r="AOR98" s="3"/>
      <c r="AOS98" s="3"/>
      <c r="AOT98" s="3"/>
      <c r="AOU98" s="3"/>
      <c r="AOV98" s="3"/>
      <c r="AOW98" s="3"/>
      <c r="AOX98" s="3"/>
      <c r="AOY98" s="3"/>
      <c r="AOZ98" s="3"/>
      <c r="APA98" s="3"/>
      <c r="APB98" s="3"/>
      <c r="APC98" s="3"/>
      <c r="APD98" s="3"/>
      <c r="APE98" s="3"/>
      <c r="APF98" s="3"/>
      <c r="APG98" s="3"/>
      <c r="APH98" s="3"/>
      <c r="API98" s="3"/>
      <c r="APJ98" s="3"/>
      <c r="APK98" s="3"/>
      <c r="APL98" s="3"/>
      <c r="APM98" s="3"/>
      <c r="APN98" s="3"/>
      <c r="APO98" s="3"/>
      <c r="APP98" s="3"/>
      <c r="APQ98" s="3"/>
      <c r="APR98" s="3"/>
      <c r="APS98" s="3"/>
      <c r="APT98" s="3"/>
      <c r="APU98" s="3"/>
      <c r="APV98" s="3"/>
      <c r="APW98" s="3"/>
      <c r="APX98" s="3"/>
      <c r="APY98" s="3"/>
      <c r="APZ98" s="3"/>
      <c r="AQA98" s="3"/>
      <c r="AQB98" s="3"/>
      <c r="AQC98" s="3"/>
      <c r="AQD98" s="3"/>
      <c r="AQE98" s="3"/>
      <c r="AQF98" s="3"/>
      <c r="AQG98" s="3"/>
      <c r="AQH98" s="3"/>
      <c r="AQI98" s="3"/>
      <c r="AQJ98" s="3"/>
      <c r="AQK98" s="3"/>
      <c r="AQL98" s="3"/>
      <c r="AQM98" s="3"/>
      <c r="AQN98" s="3"/>
      <c r="AQO98" s="3"/>
      <c r="AQP98" s="3"/>
      <c r="AQQ98" s="3"/>
      <c r="AQR98" s="3"/>
      <c r="AQS98" s="3"/>
      <c r="AQT98" s="3"/>
      <c r="AQU98" s="3"/>
      <c r="AQV98" s="3"/>
      <c r="AQW98" s="3"/>
      <c r="AQX98" s="3"/>
      <c r="AQY98" s="3"/>
      <c r="AQZ98" s="3"/>
      <c r="ARA98" s="3"/>
      <c r="ARB98" s="3"/>
      <c r="ARC98" s="3"/>
      <c r="ARD98" s="3"/>
      <c r="ARE98" s="3"/>
      <c r="ARF98" s="3"/>
      <c r="ARG98" s="3"/>
      <c r="ARH98" s="3"/>
      <c r="ARI98" s="3"/>
      <c r="ARJ98" s="3"/>
      <c r="ARK98" s="3"/>
      <c r="ARL98" s="3"/>
      <c r="ARM98" s="3"/>
      <c r="ARN98" s="3"/>
      <c r="ARO98" s="3"/>
      <c r="ARP98" s="3"/>
      <c r="ARQ98" s="3"/>
      <c r="ARR98" s="3"/>
      <c r="ARS98" s="3"/>
      <c r="ART98" s="3"/>
      <c r="ARU98" s="3"/>
      <c r="ARV98" s="3"/>
      <c r="ARW98" s="3"/>
      <c r="ARX98" s="3"/>
      <c r="ARY98" s="3"/>
      <c r="ARZ98" s="3"/>
      <c r="ASA98" s="3"/>
      <c r="ASB98" s="3"/>
      <c r="ASC98" s="3"/>
      <c r="ASD98" s="3"/>
      <c r="ASE98" s="3"/>
      <c r="ASF98" s="3"/>
      <c r="ASG98" s="3"/>
      <c r="ASH98" s="3"/>
      <c r="ASI98" s="3"/>
      <c r="ASJ98" s="3"/>
      <c r="ASK98" s="3"/>
      <c r="ASL98" s="3"/>
      <c r="ASM98" s="3"/>
      <c r="ASN98" s="3"/>
      <c r="ASO98" s="3"/>
      <c r="ASP98" s="3"/>
      <c r="ASQ98" s="3"/>
      <c r="ASR98" s="3"/>
      <c r="ASS98" s="3"/>
      <c r="AST98" s="3"/>
      <c r="ASU98" s="3"/>
      <c r="ASV98" s="3"/>
      <c r="ASW98" s="3"/>
      <c r="ASX98" s="3"/>
      <c r="ASY98" s="3"/>
      <c r="ASZ98" s="3"/>
      <c r="ATA98" s="3"/>
      <c r="ATB98" s="3"/>
      <c r="ATC98" s="3"/>
      <c r="ATD98" s="3"/>
      <c r="ATE98" s="3"/>
      <c r="ATF98" s="3"/>
      <c r="ATG98" s="3"/>
      <c r="ATH98" s="3"/>
      <c r="ATI98" s="3"/>
      <c r="ATJ98" s="3"/>
      <c r="ATK98" s="3"/>
      <c r="ATL98" s="3"/>
      <c r="ATM98" s="3"/>
      <c r="ATN98" s="3"/>
      <c r="ATO98" s="3"/>
      <c r="ATP98" s="3"/>
      <c r="ATQ98" s="3"/>
      <c r="ATR98" s="3"/>
      <c r="ATS98" s="3"/>
      <c r="ATT98" s="3"/>
      <c r="ATU98" s="3"/>
      <c r="ATV98" s="3"/>
      <c r="ATW98" s="3"/>
      <c r="ATX98" s="3"/>
      <c r="ATY98" s="3"/>
      <c r="ATZ98" s="3"/>
      <c r="AUA98" s="3"/>
      <c r="AUB98" s="3"/>
      <c r="AUC98" s="3"/>
      <c r="AUD98" s="3"/>
      <c r="AUE98" s="3"/>
      <c r="AUF98" s="3"/>
      <c r="AUG98" s="3"/>
      <c r="AUH98" s="3"/>
      <c r="AUI98" s="3"/>
      <c r="AUJ98" s="3"/>
      <c r="AUK98" s="3"/>
      <c r="AUL98" s="3"/>
      <c r="AUM98" s="3"/>
      <c r="AUN98" s="3"/>
      <c r="AUO98" s="3"/>
      <c r="AUP98" s="3"/>
      <c r="AUQ98" s="3"/>
      <c r="AUR98" s="3"/>
      <c r="AUS98" s="3"/>
      <c r="AUT98" s="3"/>
      <c r="AUU98" s="3"/>
      <c r="AUV98" s="3"/>
      <c r="AUW98" s="3"/>
      <c r="AUX98" s="3"/>
      <c r="AUY98" s="3"/>
      <c r="AUZ98" s="3"/>
      <c r="AVA98" s="3"/>
      <c r="AVB98" s="3"/>
      <c r="AVC98" s="3"/>
      <c r="AVD98" s="3"/>
      <c r="AVE98" s="3"/>
      <c r="AVF98" s="3"/>
      <c r="AVG98" s="3"/>
      <c r="AVH98" s="3"/>
      <c r="AVI98" s="3"/>
      <c r="AVJ98" s="3"/>
      <c r="AVK98" s="3"/>
      <c r="AVL98" s="3"/>
      <c r="AVM98" s="3"/>
      <c r="AVN98" s="3"/>
      <c r="AVO98" s="3"/>
      <c r="AVP98" s="3"/>
      <c r="AVQ98" s="3"/>
      <c r="AVR98" s="3"/>
      <c r="AVS98" s="3"/>
      <c r="AVT98" s="3"/>
      <c r="AVU98" s="3"/>
      <c r="AVV98" s="3"/>
      <c r="AVW98" s="3"/>
      <c r="AVX98" s="3"/>
      <c r="AVY98" s="3"/>
      <c r="AVZ98" s="3"/>
      <c r="AWA98" s="3"/>
      <c r="AWB98" s="3"/>
      <c r="AWC98" s="3"/>
      <c r="AWD98" s="3"/>
      <c r="AWE98" s="3"/>
      <c r="AWF98" s="3"/>
      <c r="AWG98" s="3"/>
      <c r="AWH98" s="3"/>
      <c r="AWI98" s="3"/>
      <c r="AWJ98" s="3"/>
      <c r="AWK98" s="3"/>
      <c r="AWL98" s="3"/>
      <c r="AWM98" s="3"/>
      <c r="AWN98" s="3"/>
      <c r="AWO98" s="3"/>
      <c r="AWP98" s="3"/>
      <c r="AWQ98" s="3"/>
      <c r="AWR98" s="3"/>
      <c r="AWS98" s="3"/>
      <c r="AWT98" s="3"/>
      <c r="AWU98" s="3"/>
      <c r="AWV98" s="3"/>
      <c r="AWW98" s="3"/>
      <c r="AWX98" s="3"/>
      <c r="AWY98" s="3"/>
      <c r="AWZ98" s="3"/>
      <c r="AXA98" s="3"/>
      <c r="AXB98" s="3"/>
      <c r="AXC98" s="3"/>
      <c r="AXD98" s="3"/>
      <c r="AXE98" s="3"/>
      <c r="AXF98" s="3"/>
      <c r="AXG98" s="3"/>
      <c r="AXH98" s="3"/>
      <c r="AXI98" s="3"/>
      <c r="AXJ98" s="3"/>
      <c r="AXK98" s="3"/>
      <c r="AXL98" s="3"/>
      <c r="AXM98" s="3"/>
      <c r="AXN98" s="3"/>
      <c r="AXO98" s="3"/>
      <c r="AXP98" s="3"/>
      <c r="AXQ98" s="3"/>
      <c r="AXR98" s="3"/>
      <c r="AXS98" s="3"/>
      <c r="AXT98" s="3"/>
      <c r="AXU98" s="3"/>
      <c r="AXV98" s="3"/>
      <c r="AXW98" s="3"/>
      <c r="AXX98" s="3"/>
      <c r="AXY98" s="3"/>
      <c r="AXZ98" s="3"/>
      <c r="AYA98" s="3"/>
      <c r="AYB98" s="3"/>
      <c r="AYC98" s="3"/>
      <c r="AYD98" s="3"/>
      <c r="AYE98" s="3"/>
      <c r="AYF98" s="3"/>
      <c r="AYG98" s="3"/>
      <c r="AYH98" s="3"/>
      <c r="AYI98" s="3"/>
      <c r="AYJ98" s="3"/>
      <c r="AYK98" s="3"/>
      <c r="AYL98" s="3"/>
      <c r="AYM98" s="3"/>
      <c r="AYN98" s="3"/>
      <c r="AYO98" s="3"/>
      <c r="AYP98" s="3"/>
      <c r="AYQ98" s="3"/>
      <c r="AYR98" s="3"/>
      <c r="AYS98" s="3"/>
      <c r="AYT98" s="3"/>
      <c r="AYU98" s="3"/>
      <c r="AYV98" s="3"/>
      <c r="AYW98" s="3"/>
      <c r="AYX98" s="3"/>
      <c r="AYY98" s="3"/>
      <c r="AYZ98" s="3"/>
      <c r="AZA98" s="3"/>
      <c r="AZB98" s="3"/>
      <c r="AZC98" s="3"/>
      <c r="AZD98" s="3"/>
      <c r="AZE98" s="3"/>
      <c r="AZF98" s="3"/>
      <c r="AZG98" s="3"/>
      <c r="AZH98" s="3"/>
      <c r="AZI98" s="3"/>
      <c r="AZJ98" s="3"/>
      <c r="AZK98" s="3"/>
      <c r="AZL98" s="3"/>
      <c r="AZM98" s="3"/>
      <c r="AZN98" s="3"/>
      <c r="AZO98" s="3"/>
      <c r="AZP98" s="3"/>
      <c r="AZQ98" s="3"/>
      <c r="AZR98" s="3"/>
      <c r="AZS98" s="3"/>
      <c r="AZT98" s="3"/>
      <c r="AZU98" s="3"/>
      <c r="AZV98" s="3"/>
      <c r="AZW98" s="3"/>
      <c r="AZX98" s="3"/>
      <c r="AZY98" s="3"/>
      <c r="AZZ98" s="3"/>
      <c r="BAA98" s="3"/>
      <c r="BAB98" s="3"/>
      <c r="BAC98" s="3"/>
      <c r="BAD98" s="3"/>
      <c r="BAE98" s="3"/>
      <c r="BAF98" s="3"/>
      <c r="BAG98" s="3"/>
      <c r="BAH98" s="3"/>
      <c r="BAI98" s="3"/>
      <c r="BAJ98" s="3"/>
      <c r="BAK98" s="3"/>
      <c r="BAL98" s="3"/>
      <c r="BAM98" s="3"/>
      <c r="BAN98" s="3"/>
      <c r="BAO98" s="3"/>
      <c r="BAP98" s="3"/>
      <c r="BAQ98" s="3"/>
      <c r="BAR98" s="3"/>
      <c r="BAS98" s="3"/>
      <c r="BAT98" s="3"/>
      <c r="BAU98" s="3"/>
      <c r="BAV98" s="3"/>
      <c r="BAW98" s="3"/>
      <c r="BAX98" s="3"/>
      <c r="BAY98" s="3"/>
      <c r="BAZ98" s="3"/>
      <c r="BBA98" s="3"/>
      <c r="BBB98" s="3"/>
      <c r="BBC98" s="3"/>
      <c r="BBD98" s="3"/>
      <c r="BBE98" s="3"/>
      <c r="BBF98" s="3"/>
      <c r="BBG98" s="3"/>
      <c r="BBH98" s="3"/>
      <c r="BBI98" s="3"/>
      <c r="BBJ98" s="3"/>
      <c r="BBK98" s="3"/>
      <c r="BBL98" s="3"/>
      <c r="BBM98" s="3"/>
      <c r="BBN98" s="3"/>
      <c r="BBO98" s="3"/>
      <c r="BBP98" s="3"/>
      <c r="BBQ98" s="3"/>
      <c r="BBR98" s="3"/>
      <c r="BBS98" s="3"/>
      <c r="BBT98" s="3"/>
      <c r="BBU98" s="3"/>
      <c r="BBV98" s="3"/>
      <c r="BBW98" s="3"/>
      <c r="BBX98" s="3"/>
      <c r="BBY98" s="3"/>
      <c r="BBZ98" s="3"/>
      <c r="BCA98" s="3"/>
      <c r="BCB98" s="3"/>
      <c r="BCC98" s="3"/>
      <c r="BCD98" s="3"/>
      <c r="BCE98" s="3"/>
      <c r="BCF98" s="3"/>
      <c r="BCG98" s="3"/>
      <c r="BCH98" s="3"/>
      <c r="BCI98" s="3"/>
      <c r="BCJ98" s="3"/>
      <c r="BCK98" s="3"/>
      <c r="BCL98" s="3"/>
      <c r="BCM98" s="3"/>
      <c r="BCN98" s="3"/>
      <c r="BCO98" s="3"/>
      <c r="BCP98" s="3"/>
      <c r="BCQ98" s="3"/>
      <c r="BCR98" s="3"/>
      <c r="BCS98" s="3"/>
      <c r="BCT98" s="3"/>
      <c r="BCU98" s="3"/>
      <c r="BCV98" s="3"/>
      <c r="BCW98" s="3"/>
      <c r="BCX98" s="3"/>
      <c r="BCY98" s="3"/>
      <c r="BCZ98" s="3"/>
      <c r="BDA98" s="3"/>
      <c r="BDB98" s="3"/>
      <c r="BDC98" s="3"/>
      <c r="BDD98" s="3"/>
      <c r="BDE98" s="3"/>
      <c r="BDF98" s="3"/>
      <c r="BDG98" s="3"/>
      <c r="BDH98" s="3"/>
      <c r="BDI98" s="3"/>
      <c r="BDJ98" s="3"/>
      <c r="BDK98" s="3"/>
      <c r="BDL98" s="3"/>
      <c r="BDM98" s="3"/>
      <c r="BDN98" s="3"/>
      <c r="BDO98" s="3"/>
      <c r="BDP98" s="3"/>
      <c r="BDQ98" s="3"/>
      <c r="BDR98" s="3"/>
      <c r="BDS98" s="3"/>
      <c r="BDT98" s="3"/>
      <c r="BDU98" s="3"/>
      <c r="BDV98" s="3"/>
      <c r="BDW98" s="3"/>
      <c r="BDX98" s="3"/>
      <c r="BDY98" s="3"/>
      <c r="BDZ98" s="3"/>
      <c r="BEA98" s="3"/>
      <c r="BEB98" s="3"/>
      <c r="BEC98" s="3"/>
      <c r="BED98" s="3"/>
      <c r="BEE98" s="3"/>
      <c r="BEF98" s="3"/>
      <c r="BEG98" s="3"/>
      <c r="BEH98" s="3"/>
      <c r="BEI98" s="3"/>
      <c r="BEJ98" s="3"/>
      <c r="BEK98" s="3"/>
      <c r="BEL98" s="3"/>
      <c r="BEM98" s="3"/>
      <c r="BEN98" s="3"/>
      <c r="BEO98" s="3"/>
      <c r="BEP98" s="3"/>
      <c r="BEQ98" s="3"/>
      <c r="BER98" s="3"/>
      <c r="BES98" s="3"/>
      <c r="BET98" s="3"/>
      <c r="BEU98" s="3"/>
      <c r="BEV98" s="3"/>
      <c r="BEW98" s="3"/>
      <c r="BEX98" s="3"/>
      <c r="BEY98" s="3"/>
      <c r="BEZ98" s="3"/>
      <c r="BFA98" s="3"/>
      <c r="BFB98" s="3"/>
      <c r="BFC98" s="3"/>
    </row>
    <row r="99" spans="1:1671" x14ac:dyDescent="0.25">
      <c r="A99" s="26" t="s">
        <v>127</v>
      </c>
      <c r="B99" s="27"/>
      <c r="C99" s="10">
        <f>AVERAGE(logistics!B20:K20)</f>
        <v>1.725575E-4</v>
      </c>
      <c r="D99" s="11">
        <f>AVERAGE(logistics!B49:K49)</f>
        <v>2.3511499999999997E-5</v>
      </c>
      <c r="E99" s="15">
        <f t="shared" si="2"/>
        <v>1.5203423284659994</v>
      </c>
      <c r="F99" s="15">
        <f t="shared" si="3"/>
        <v>6.3392807774918669</v>
      </c>
      <c r="G99" s="6" t="s">
        <v>35</v>
      </c>
      <c r="H99" s="18">
        <v>1.769703159910629</v>
      </c>
      <c r="I99" s="3"/>
      <c r="J99" s="6" t="s">
        <v>35</v>
      </c>
      <c r="K99" s="18">
        <v>15.368887903315223</v>
      </c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  <c r="DK99" s="3"/>
      <c r="DL99" s="3"/>
      <c r="DM99" s="3"/>
      <c r="DN99" s="3"/>
      <c r="DO99" s="3"/>
      <c r="DP99" s="3"/>
      <c r="DQ99" s="3"/>
      <c r="DR99" s="3"/>
      <c r="DS99" s="3"/>
      <c r="DT99" s="3"/>
      <c r="DU99" s="3"/>
      <c r="DV99" s="3"/>
      <c r="DW99" s="3"/>
      <c r="DX99" s="3"/>
      <c r="DY99" s="3"/>
      <c r="DZ99" s="3"/>
      <c r="EA99" s="3"/>
      <c r="EB99" s="3"/>
      <c r="EC99" s="3"/>
      <c r="ED99" s="3"/>
      <c r="EE99" s="3"/>
      <c r="EF99" s="3"/>
      <c r="EG99" s="3"/>
      <c r="EH99" s="3"/>
      <c r="EI99" s="3"/>
      <c r="EJ99" s="3"/>
      <c r="EK99" s="3"/>
      <c r="EL99" s="3"/>
      <c r="EM99" s="3"/>
      <c r="EN99" s="3"/>
      <c r="EO99" s="3"/>
      <c r="EP99" s="3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  <c r="FH99" s="3"/>
      <c r="FI99" s="3"/>
      <c r="FJ99" s="3"/>
      <c r="FK99" s="3"/>
      <c r="FL99" s="3"/>
      <c r="FM99" s="3"/>
      <c r="FN99" s="3"/>
      <c r="FO99" s="3"/>
      <c r="FP99" s="3"/>
      <c r="FQ99" s="3"/>
      <c r="FR99" s="3"/>
      <c r="FS99" s="3"/>
      <c r="FT99" s="3"/>
      <c r="FU99" s="3"/>
      <c r="FV99" s="3"/>
      <c r="FW99" s="3"/>
      <c r="FX99" s="3"/>
      <c r="FY99" s="3"/>
      <c r="FZ99" s="3"/>
      <c r="GA99" s="3"/>
      <c r="GB99" s="3"/>
      <c r="GC99" s="3"/>
      <c r="GD99" s="3"/>
      <c r="GE99" s="3"/>
      <c r="GF99" s="3"/>
      <c r="GG99" s="3"/>
      <c r="GH99" s="3"/>
      <c r="GI99" s="3"/>
      <c r="GJ99" s="3"/>
      <c r="GK99" s="3"/>
      <c r="GL99" s="3"/>
      <c r="GM99" s="3"/>
      <c r="GN99" s="3"/>
      <c r="GO99" s="3"/>
      <c r="GP99" s="3"/>
      <c r="GQ99" s="3"/>
      <c r="GR99" s="3"/>
      <c r="GS99" s="3"/>
      <c r="GT99" s="3"/>
      <c r="GU99" s="3"/>
      <c r="GV99" s="3"/>
      <c r="GW99" s="3"/>
      <c r="GX99" s="3"/>
      <c r="GY99" s="3"/>
      <c r="GZ99" s="3"/>
      <c r="HA99" s="3"/>
      <c r="HB99" s="3"/>
      <c r="HC99" s="3"/>
      <c r="HD99" s="3"/>
      <c r="HE99" s="3"/>
      <c r="HF99" s="3"/>
      <c r="HG99" s="3"/>
      <c r="HH99" s="3"/>
      <c r="HI99" s="3"/>
      <c r="HJ99" s="3"/>
      <c r="HK99" s="3"/>
      <c r="HL99" s="3"/>
      <c r="HM99" s="3"/>
      <c r="HN99" s="3"/>
      <c r="HO99" s="3"/>
      <c r="HP99" s="3"/>
      <c r="HQ99" s="3"/>
      <c r="HR99" s="3"/>
      <c r="HS99" s="3"/>
      <c r="HT99" s="3"/>
      <c r="HU99" s="3"/>
      <c r="HV99" s="3"/>
      <c r="HW99" s="3"/>
      <c r="HX99" s="3"/>
      <c r="HY99" s="3"/>
      <c r="HZ99" s="3"/>
      <c r="IA99" s="3"/>
      <c r="IB99" s="3"/>
      <c r="IC99" s="3"/>
      <c r="ID99" s="3"/>
      <c r="IE99" s="3"/>
      <c r="IF99" s="3"/>
      <c r="IG99" s="3"/>
      <c r="IH99" s="3"/>
      <c r="II99" s="3"/>
      <c r="IJ99" s="3"/>
      <c r="IK99" s="3"/>
      <c r="IL99" s="3"/>
      <c r="IM99" s="3"/>
      <c r="IN99" s="3"/>
      <c r="IO99" s="3"/>
      <c r="IP99" s="3"/>
      <c r="IQ99" s="3"/>
      <c r="IR99" s="3"/>
      <c r="IS99" s="3"/>
      <c r="IT99" s="3"/>
      <c r="IU99" s="3"/>
      <c r="IV99" s="3"/>
      <c r="IW99" s="3"/>
      <c r="IX99" s="3"/>
      <c r="IY99" s="3"/>
      <c r="IZ99" s="3"/>
      <c r="JA99" s="3"/>
      <c r="JB99" s="3"/>
      <c r="JC99" s="3"/>
      <c r="JD99" s="3"/>
      <c r="JE99" s="3"/>
      <c r="JF99" s="3"/>
      <c r="JG99" s="3"/>
      <c r="JH99" s="3"/>
      <c r="JI99" s="3"/>
      <c r="JJ99" s="3"/>
      <c r="JK99" s="3"/>
      <c r="JL99" s="3"/>
      <c r="JM99" s="3"/>
      <c r="JN99" s="3"/>
      <c r="JO99" s="3"/>
      <c r="JP99" s="3"/>
      <c r="JQ99" s="3"/>
      <c r="JR99" s="3"/>
      <c r="JS99" s="3"/>
      <c r="JT99" s="3"/>
      <c r="JU99" s="3"/>
      <c r="JV99" s="3"/>
      <c r="JW99" s="3"/>
      <c r="JX99" s="3"/>
      <c r="JY99" s="3"/>
      <c r="JZ99" s="3"/>
      <c r="KA99" s="3"/>
      <c r="KB99" s="3"/>
      <c r="KC99" s="3"/>
      <c r="KD99" s="3"/>
      <c r="KE99" s="3"/>
      <c r="KF99" s="3"/>
      <c r="KG99" s="3"/>
      <c r="KH99" s="3"/>
      <c r="KI99" s="3"/>
      <c r="KJ99" s="3"/>
      <c r="KK99" s="3"/>
      <c r="KL99" s="3"/>
      <c r="KM99" s="3"/>
      <c r="KN99" s="3"/>
      <c r="KO99" s="3"/>
      <c r="KP99" s="3"/>
      <c r="KQ99" s="3"/>
      <c r="KR99" s="3"/>
      <c r="KS99" s="3"/>
      <c r="KT99" s="3"/>
      <c r="KU99" s="3"/>
      <c r="KV99" s="3"/>
      <c r="KW99" s="3"/>
      <c r="KX99" s="3"/>
      <c r="KY99" s="3"/>
      <c r="KZ99" s="3"/>
      <c r="LA99" s="3"/>
      <c r="LB99" s="3"/>
      <c r="LC99" s="3"/>
      <c r="LD99" s="3"/>
      <c r="LE99" s="3"/>
      <c r="LF99" s="3"/>
      <c r="LG99" s="3"/>
      <c r="LH99" s="3"/>
      <c r="LI99" s="3"/>
      <c r="LJ99" s="3"/>
      <c r="LK99" s="3"/>
      <c r="LL99" s="3"/>
      <c r="LM99" s="3"/>
      <c r="LN99" s="3"/>
      <c r="LO99" s="3"/>
      <c r="LP99" s="3"/>
      <c r="LQ99" s="3"/>
      <c r="LR99" s="3"/>
      <c r="LS99" s="3"/>
      <c r="LT99" s="3"/>
      <c r="LU99" s="3"/>
      <c r="LV99" s="3"/>
      <c r="LW99" s="3"/>
      <c r="LX99" s="3"/>
      <c r="LY99" s="3"/>
      <c r="LZ99" s="3"/>
      <c r="MA99" s="3"/>
      <c r="MB99" s="3"/>
      <c r="MC99" s="3"/>
      <c r="MD99" s="3"/>
      <c r="ME99" s="3"/>
      <c r="MF99" s="3"/>
      <c r="MG99" s="3"/>
      <c r="MH99" s="3"/>
      <c r="MI99" s="3"/>
      <c r="MJ99" s="3"/>
      <c r="MK99" s="3"/>
      <c r="ML99" s="3"/>
      <c r="MM99" s="3"/>
      <c r="MN99" s="3"/>
      <c r="MO99" s="3"/>
      <c r="MP99" s="3"/>
      <c r="MQ99" s="3"/>
      <c r="MR99" s="3"/>
      <c r="MS99" s="3"/>
      <c r="MT99" s="3"/>
      <c r="MU99" s="3"/>
      <c r="MV99" s="3"/>
      <c r="MW99" s="3"/>
      <c r="MX99" s="3"/>
      <c r="MY99" s="3"/>
      <c r="MZ99" s="3"/>
      <c r="NA99" s="3"/>
      <c r="NB99" s="3"/>
      <c r="NC99" s="3"/>
      <c r="ND99" s="3"/>
      <c r="NE99" s="3"/>
      <c r="NF99" s="3"/>
      <c r="NG99" s="3"/>
      <c r="NH99" s="3"/>
      <c r="NI99" s="3"/>
      <c r="NJ99" s="3"/>
      <c r="NK99" s="3"/>
      <c r="NL99" s="3"/>
      <c r="NM99" s="3"/>
      <c r="NN99" s="3"/>
      <c r="NO99" s="3"/>
      <c r="NP99" s="3"/>
      <c r="NQ99" s="3"/>
      <c r="NR99" s="3"/>
      <c r="NS99" s="3"/>
      <c r="NT99" s="3"/>
      <c r="NU99" s="3"/>
      <c r="NV99" s="3"/>
      <c r="NW99" s="3"/>
      <c r="NX99" s="3"/>
      <c r="NY99" s="3"/>
      <c r="NZ99" s="3"/>
      <c r="OA99" s="3"/>
      <c r="OB99" s="3"/>
      <c r="OC99" s="3"/>
      <c r="OD99" s="3"/>
      <c r="OE99" s="3"/>
      <c r="OF99" s="3"/>
      <c r="OG99" s="3"/>
      <c r="OH99" s="3"/>
      <c r="OI99" s="3"/>
      <c r="OJ99" s="3"/>
      <c r="OK99" s="3"/>
      <c r="OL99" s="3"/>
      <c r="OM99" s="3"/>
      <c r="ON99" s="3"/>
      <c r="OO99" s="3"/>
      <c r="OP99" s="3"/>
      <c r="OQ99" s="3"/>
      <c r="OR99" s="3"/>
      <c r="OS99" s="3"/>
      <c r="OT99" s="3"/>
      <c r="OU99" s="3"/>
      <c r="OV99" s="3"/>
      <c r="OW99" s="3"/>
      <c r="OX99" s="3"/>
      <c r="OY99" s="3"/>
      <c r="OZ99" s="3"/>
      <c r="PA99" s="3"/>
      <c r="PB99" s="3"/>
      <c r="PC99" s="3"/>
      <c r="PD99" s="3"/>
      <c r="PE99" s="3"/>
      <c r="PF99" s="3"/>
      <c r="PG99" s="3"/>
      <c r="PH99" s="3"/>
      <c r="PI99" s="3"/>
      <c r="PJ99" s="3"/>
      <c r="PK99" s="3"/>
      <c r="PL99" s="3"/>
      <c r="PM99" s="3"/>
      <c r="PN99" s="3"/>
      <c r="PO99" s="3"/>
      <c r="PP99" s="3"/>
      <c r="PQ99" s="3"/>
      <c r="PR99" s="3"/>
      <c r="PS99" s="3"/>
      <c r="PT99" s="3"/>
      <c r="PU99" s="3"/>
      <c r="PV99" s="3"/>
      <c r="PW99" s="3"/>
      <c r="PX99" s="3"/>
      <c r="PY99" s="3"/>
      <c r="PZ99" s="3"/>
      <c r="QA99" s="3"/>
      <c r="QB99" s="3"/>
      <c r="QC99" s="3"/>
      <c r="QD99" s="3"/>
      <c r="QE99" s="3"/>
      <c r="QF99" s="3"/>
      <c r="QG99" s="3"/>
      <c r="QH99" s="3"/>
      <c r="QI99" s="3"/>
      <c r="QJ99" s="3"/>
      <c r="QK99" s="3"/>
      <c r="QL99" s="3"/>
      <c r="QM99" s="3"/>
      <c r="QN99" s="3"/>
      <c r="QO99" s="3"/>
      <c r="QP99" s="3"/>
      <c r="QQ99" s="3"/>
      <c r="QR99" s="3"/>
      <c r="QS99" s="3"/>
      <c r="QT99" s="3"/>
      <c r="QU99" s="3"/>
      <c r="QV99" s="3"/>
      <c r="QW99" s="3"/>
      <c r="QX99" s="3"/>
      <c r="QY99" s="3"/>
      <c r="QZ99" s="3"/>
      <c r="RA99" s="3"/>
      <c r="RB99" s="3"/>
      <c r="RC99" s="3"/>
      <c r="RD99" s="3"/>
      <c r="RE99" s="3"/>
      <c r="RF99" s="3"/>
      <c r="RG99" s="3"/>
      <c r="RH99" s="3"/>
      <c r="RI99" s="3"/>
      <c r="RJ99" s="3"/>
      <c r="RK99" s="3"/>
      <c r="RL99" s="3"/>
      <c r="RM99" s="3"/>
      <c r="RN99" s="3"/>
      <c r="RO99" s="3"/>
      <c r="RP99" s="3"/>
      <c r="RQ99" s="3"/>
      <c r="RR99" s="3"/>
      <c r="RS99" s="3"/>
      <c r="RT99" s="3"/>
      <c r="RU99" s="3"/>
      <c r="RV99" s="3"/>
      <c r="RW99" s="3"/>
      <c r="RX99" s="3"/>
      <c r="RY99" s="3"/>
      <c r="RZ99" s="3"/>
      <c r="SA99" s="3"/>
      <c r="SB99" s="3"/>
      <c r="SC99" s="3"/>
      <c r="SD99" s="3"/>
      <c r="SE99" s="3"/>
      <c r="SF99" s="3"/>
      <c r="SG99" s="3"/>
      <c r="SH99" s="3"/>
      <c r="SI99" s="3"/>
      <c r="SJ99" s="3"/>
      <c r="SK99" s="3"/>
      <c r="SL99" s="3"/>
      <c r="SM99" s="3"/>
      <c r="SN99" s="3"/>
      <c r="SO99" s="3"/>
      <c r="SP99" s="3"/>
      <c r="SQ99" s="3"/>
      <c r="SR99" s="3"/>
      <c r="SS99" s="3"/>
      <c r="ST99" s="3"/>
      <c r="SU99" s="3"/>
      <c r="SV99" s="3"/>
      <c r="SW99" s="3"/>
      <c r="SX99" s="3"/>
      <c r="SY99" s="3"/>
      <c r="SZ99" s="3"/>
      <c r="TA99" s="3"/>
      <c r="TB99" s="3"/>
      <c r="TC99" s="3"/>
      <c r="TD99" s="3"/>
      <c r="TE99" s="3"/>
      <c r="TF99" s="3"/>
      <c r="TG99" s="3"/>
      <c r="TH99" s="3"/>
      <c r="TI99" s="3"/>
      <c r="TJ99" s="3"/>
      <c r="TK99" s="3"/>
      <c r="TL99" s="3"/>
      <c r="TM99" s="3"/>
      <c r="TN99" s="3"/>
      <c r="TO99" s="3"/>
      <c r="TP99" s="3"/>
      <c r="TQ99" s="3"/>
      <c r="TR99" s="3"/>
      <c r="TS99" s="3"/>
      <c r="TT99" s="3"/>
      <c r="TU99" s="3"/>
      <c r="TV99" s="3"/>
      <c r="TW99" s="3"/>
      <c r="TX99" s="3"/>
      <c r="TY99" s="3"/>
      <c r="TZ99" s="3"/>
      <c r="UA99" s="3"/>
      <c r="UB99" s="3"/>
      <c r="UC99" s="3"/>
      <c r="UD99" s="3"/>
      <c r="UE99" s="3"/>
      <c r="UF99" s="3"/>
      <c r="UG99" s="3"/>
      <c r="UH99" s="3"/>
      <c r="UI99" s="3"/>
      <c r="UJ99" s="3"/>
      <c r="UK99" s="3"/>
      <c r="UL99" s="3"/>
      <c r="UM99" s="3"/>
      <c r="UN99" s="3"/>
      <c r="UO99" s="3"/>
      <c r="UP99" s="3"/>
      <c r="UQ99" s="3"/>
      <c r="UR99" s="3"/>
      <c r="US99" s="3"/>
      <c r="UT99" s="3"/>
      <c r="UU99" s="3"/>
      <c r="UV99" s="3"/>
      <c r="UW99" s="3"/>
      <c r="UX99" s="3"/>
      <c r="UY99" s="3"/>
      <c r="UZ99" s="3"/>
      <c r="VA99" s="3"/>
      <c r="VB99" s="3"/>
      <c r="VC99" s="3"/>
      <c r="VD99" s="3"/>
      <c r="VE99" s="3"/>
      <c r="VF99" s="3"/>
      <c r="VG99" s="3"/>
      <c r="VH99" s="3"/>
      <c r="VI99" s="3"/>
      <c r="VJ99" s="3"/>
      <c r="VK99" s="3"/>
      <c r="VL99" s="3"/>
      <c r="VM99" s="3"/>
      <c r="VN99" s="3"/>
      <c r="VO99" s="3"/>
      <c r="VP99" s="3"/>
      <c r="VQ99" s="3"/>
      <c r="VR99" s="3"/>
      <c r="VS99" s="3"/>
      <c r="VT99" s="3"/>
      <c r="VU99" s="3"/>
      <c r="VV99" s="3"/>
      <c r="VW99" s="3"/>
      <c r="VX99" s="3"/>
      <c r="VY99" s="3"/>
      <c r="VZ99" s="3"/>
      <c r="WA99" s="3"/>
      <c r="WB99" s="3"/>
      <c r="WC99" s="3"/>
      <c r="WD99" s="3"/>
      <c r="WE99" s="3"/>
      <c r="WF99" s="3"/>
      <c r="WG99" s="3"/>
      <c r="WH99" s="3"/>
      <c r="WI99" s="3"/>
      <c r="WJ99" s="3"/>
      <c r="WK99" s="3"/>
      <c r="WL99" s="3"/>
      <c r="WM99" s="3"/>
      <c r="WN99" s="3"/>
      <c r="WO99" s="3"/>
      <c r="WP99" s="3"/>
      <c r="WQ99" s="3"/>
      <c r="WR99" s="3"/>
      <c r="WS99" s="3"/>
      <c r="WT99" s="3"/>
      <c r="WU99" s="3"/>
      <c r="WV99" s="3"/>
      <c r="WW99" s="3"/>
      <c r="WX99" s="3"/>
      <c r="WY99" s="3"/>
      <c r="WZ99" s="3"/>
      <c r="XA99" s="3"/>
      <c r="XB99" s="3"/>
      <c r="XC99" s="3"/>
      <c r="XD99" s="3"/>
      <c r="XE99" s="3"/>
      <c r="XF99" s="3"/>
      <c r="XG99" s="3"/>
      <c r="XH99" s="3"/>
      <c r="XI99" s="3"/>
      <c r="XJ99" s="3"/>
      <c r="XK99" s="3"/>
      <c r="XL99" s="3"/>
      <c r="XM99" s="3"/>
      <c r="XN99" s="3"/>
      <c r="XO99" s="3"/>
      <c r="XP99" s="3"/>
      <c r="XQ99" s="3"/>
      <c r="XR99" s="3"/>
      <c r="XS99" s="3"/>
      <c r="XT99" s="3"/>
      <c r="XU99" s="3"/>
      <c r="XV99" s="3"/>
      <c r="XW99" s="3"/>
      <c r="XX99" s="3"/>
      <c r="XY99" s="3"/>
      <c r="XZ99" s="3"/>
      <c r="YA99" s="3"/>
      <c r="YB99" s="3"/>
      <c r="YC99" s="3"/>
      <c r="YD99" s="3"/>
      <c r="YE99" s="3"/>
      <c r="YF99" s="3"/>
      <c r="YG99" s="3"/>
      <c r="YH99" s="3"/>
      <c r="YI99" s="3"/>
      <c r="YJ99" s="3"/>
      <c r="YK99" s="3"/>
      <c r="YL99" s="3"/>
      <c r="YM99" s="3"/>
      <c r="YN99" s="3"/>
      <c r="YO99" s="3"/>
      <c r="YP99" s="3"/>
      <c r="YQ99" s="3"/>
      <c r="YR99" s="3"/>
      <c r="YS99" s="3"/>
      <c r="YT99" s="3"/>
      <c r="YU99" s="3"/>
      <c r="YV99" s="3"/>
      <c r="YW99" s="3"/>
      <c r="YX99" s="3"/>
      <c r="YY99" s="3"/>
      <c r="YZ99" s="3"/>
      <c r="ZA99" s="3"/>
      <c r="ZB99" s="3"/>
      <c r="ZC99" s="3"/>
      <c r="ZD99" s="3"/>
      <c r="ZE99" s="3"/>
      <c r="ZF99" s="3"/>
      <c r="ZG99" s="3"/>
      <c r="ZH99" s="3"/>
      <c r="ZI99" s="3"/>
      <c r="ZJ99" s="3"/>
      <c r="ZK99" s="3"/>
      <c r="ZL99" s="3"/>
      <c r="ZM99" s="3"/>
      <c r="ZN99" s="3"/>
      <c r="ZO99" s="3"/>
      <c r="ZP99" s="3"/>
      <c r="ZQ99" s="3"/>
      <c r="ZR99" s="3"/>
      <c r="ZS99" s="3"/>
      <c r="ZT99" s="3"/>
      <c r="ZU99" s="3"/>
      <c r="ZV99" s="3"/>
      <c r="ZW99" s="3"/>
      <c r="ZX99" s="3"/>
      <c r="ZY99" s="3"/>
      <c r="ZZ99" s="3"/>
      <c r="AAA99" s="3"/>
      <c r="AAB99" s="3"/>
      <c r="AAC99" s="3"/>
      <c r="AAD99" s="3"/>
      <c r="AAE99" s="3"/>
      <c r="AAF99" s="3"/>
      <c r="AAG99" s="3"/>
      <c r="AAH99" s="3"/>
      <c r="AAI99" s="3"/>
      <c r="AAJ99" s="3"/>
      <c r="AAK99" s="3"/>
      <c r="AAL99" s="3"/>
      <c r="AAM99" s="3"/>
      <c r="AAN99" s="3"/>
      <c r="AAO99" s="3"/>
      <c r="AAP99" s="3"/>
      <c r="AAQ99" s="3"/>
      <c r="AAR99" s="3"/>
      <c r="AAS99" s="3"/>
      <c r="AAT99" s="3"/>
      <c r="AAU99" s="3"/>
      <c r="AAV99" s="3"/>
      <c r="AAW99" s="3"/>
      <c r="AAX99" s="3"/>
      <c r="AAY99" s="3"/>
      <c r="AAZ99" s="3"/>
      <c r="ABA99" s="3"/>
      <c r="ABB99" s="3"/>
      <c r="ABC99" s="3"/>
      <c r="ABD99" s="3"/>
      <c r="ABE99" s="3"/>
      <c r="ABF99" s="3"/>
      <c r="ABG99" s="3"/>
      <c r="ABH99" s="3"/>
      <c r="ABI99" s="3"/>
      <c r="ABJ99" s="3"/>
      <c r="ABK99" s="3"/>
      <c r="ABL99" s="3"/>
      <c r="ABM99" s="3"/>
      <c r="ABN99" s="3"/>
      <c r="ABO99" s="3"/>
      <c r="ABP99" s="3"/>
      <c r="ABQ99" s="3"/>
      <c r="ABR99" s="3"/>
      <c r="ABS99" s="3"/>
      <c r="ABT99" s="3"/>
      <c r="ABU99" s="3"/>
      <c r="ABV99" s="3"/>
      <c r="ABW99" s="3"/>
      <c r="ABX99" s="3"/>
      <c r="ABY99" s="3"/>
      <c r="ABZ99" s="3"/>
      <c r="ACA99" s="3"/>
      <c r="ACB99" s="3"/>
      <c r="ACC99" s="3"/>
      <c r="ACD99" s="3"/>
      <c r="ACE99" s="3"/>
      <c r="ACF99" s="3"/>
      <c r="ACG99" s="3"/>
      <c r="ACH99" s="3"/>
      <c r="ACI99" s="3"/>
      <c r="ACJ99" s="3"/>
      <c r="ACK99" s="3"/>
      <c r="ACL99" s="3"/>
      <c r="ACM99" s="3"/>
      <c r="ACN99" s="3"/>
      <c r="ACO99" s="3"/>
      <c r="ACP99" s="3"/>
      <c r="ACQ99" s="3"/>
      <c r="ACR99" s="3"/>
      <c r="ACS99" s="3"/>
      <c r="ACT99" s="3"/>
      <c r="ACU99" s="3"/>
      <c r="ACV99" s="3"/>
      <c r="ACW99" s="3"/>
      <c r="ACX99" s="3"/>
      <c r="ACY99" s="3"/>
      <c r="ACZ99" s="3"/>
      <c r="ADA99" s="3"/>
      <c r="ADB99" s="3"/>
      <c r="ADC99" s="3"/>
      <c r="ADD99" s="3"/>
      <c r="ADE99" s="3"/>
      <c r="ADF99" s="3"/>
      <c r="ADG99" s="3"/>
      <c r="ADH99" s="3"/>
      <c r="ADI99" s="3"/>
      <c r="ADJ99" s="3"/>
      <c r="ADK99" s="3"/>
      <c r="ADL99" s="3"/>
      <c r="ADM99" s="3"/>
      <c r="ADN99" s="3"/>
      <c r="ADO99" s="3"/>
      <c r="ADP99" s="3"/>
      <c r="ADQ99" s="3"/>
      <c r="ADR99" s="3"/>
      <c r="ADS99" s="3"/>
      <c r="ADT99" s="3"/>
      <c r="ADU99" s="3"/>
      <c r="ADV99" s="3"/>
      <c r="ADW99" s="3"/>
      <c r="ADX99" s="3"/>
      <c r="ADY99" s="3"/>
      <c r="ADZ99" s="3"/>
      <c r="AEA99" s="3"/>
      <c r="AEB99" s="3"/>
      <c r="AEC99" s="3"/>
      <c r="AED99" s="3"/>
      <c r="AEE99" s="3"/>
      <c r="AEF99" s="3"/>
      <c r="AEG99" s="3"/>
      <c r="AEH99" s="3"/>
      <c r="AEI99" s="3"/>
      <c r="AEJ99" s="3"/>
      <c r="AEK99" s="3"/>
      <c r="AEL99" s="3"/>
      <c r="AEM99" s="3"/>
      <c r="AEN99" s="3"/>
      <c r="AEO99" s="3"/>
      <c r="AEP99" s="3"/>
      <c r="AEQ99" s="3"/>
      <c r="AER99" s="3"/>
      <c r="AES99" s="3"/>
      <c r="AET99" s="3"/>
      <c r="AEU99" s="3"/>
      <c r="AEV99" s="3"/>
      <c r="AEW99" s="3"/>
      <c r="AEX99" s="3"/>
      <c r="AEY99" s="3"/>
      <c r="AEZ99" s="3"/>
      <c r="AFA99" s="3"/>
      <c r="AFB99" s="3"/>
      <c r="AFC99" s="3"/>
      <c r="AFD99" s="3"/>
      <c r="AFE99" s="3"/>
      <c r="AFF99" s="3"/>
      <c r="AFG99" s="3"/>
      <c r="AFH99" s="3"/>
      <c r="AFI99" s="3"/>
      <c r="AFJ99" s="3"/>
      <c r="AFK99" s="3"/>
      <c r="AFL99" s="3"/>
      <c r="AFM99" s="3"/>
      <c r="AFN99" s="3"/>
      <c r="AFO99" s="3"/>
      <c r="AFP99" s="3"/>
      <c r="AFQ99" s="3"/>
      <c r="AFR99" s="3"/>
      <c r="AFS99" s="3"/>
      <c r="AFT99" s="3"/>
      <c r="AFU99" s="3"/>
      <c r="AFV99" s="3"/>
      <c r="AFW99" s="3"/>
      <c r="AFX99" s="3"/>
      <c r="AFY99" s="3"/>
      <c r="AFZ99" s="3"/>
      <c r="AGA99" s="3"/>
      <c r="AGB99" s="3"/>
      <c r="AGC99" s="3"/>
      <c r="AGD99" s="3"/>
      <c r="AGE99" s="3"/>
      <c r="AGF99" s="3"/>
      <c r="AGG99" s="3"/>
      <c r="AGH99" s="3"/>
      <c r="AGI99" s="3"/>
      <c r="AGJ99" s="3"/>
      <c r="AGK99" s="3"/>
      <c r="AGL99" s="3"/>
      <c r="AGM99" s="3"/>
      <c r="AGN99" s="3"/>
      <c r="AGO99" s="3"/>
      <c r="AGP99" s="3"/>
      <c r="AGQ99" s="3"/>
      <c r="AGR99" s="3"/>
      <c r="AGS99" s="3"/>
      <c r="AGT99" s="3"/>
      <c r="AGU99" s="3"/>
      <c r="AGV99" s="3"/>
      <c r="AGW99" s="3"/>
      <c r="AGX99" s="3"/>
      <c r="AGY99" s="3"/>
      <c r="AGZ99" s="3"/>
      <c r="AHA99" s="3"/>
      <c r="AHB99" s="3"/>
      <c r="AHC99" s="3"/>
      <c r="AHD99" s="3"/>
      <c r="AHE99" s="3"/>
      <c r="AHF99" s="3"/>
      <c r="AHG99" s="3"/>
      <c r="AHH99" s="3"/>
      <c r="AHI99" s="3"/>
      <c r="AHJ99" s="3"/>
      <c r="AHK99" s="3"/>
      <c r="AHL99" s="3"/>
      <c r="AHM99" s="3"/>
      <c r="AHN99" s="3"/>
      <c r="AHO99" s="3"/>
      <c r="AHP99" s="3"/>
      <c r="AHQ99" s="3"/>
      <c r="AHR99" s="3"/>
      <c r="AHS99" s="3"/>
      <c r="AHT99" s="3"/>
      <c r="AHU99" s="3"/>
      <c r="AHV99" s="3"/>
      <c r="AHW99" s="3"/>
      <c r="AHX99" s="3"/>
      <c r="AHY99" s="3"/>
      <c r="AHZ99" s="3"/>
      <c r="AIA99" s="3"/>
      <c r="AIB99" s="3"/>
      <c r="AIC99" s="3"/>
      <c r="AID99" s="3"/>
      <c r="AIE99" s="3"/>
      <c r="AIF99" s="3"/>
      <c r="AIG99" s="3"/>
      <c r="AIH99" s="3"/>
      <c r="AII99" s="3"/>
      <c r="AIJ99" s="3"/>
      <c r="AIK99" s="3"/>
      <c r="AIL99" s="3"/>
      <c r="AIM99" s="3"/>
      <c r="AIN99" s="3"/>
      <c r="AIO99" s="3"/>
      <c r="AIP99" s="3"/>
      <c r="AIQ99" s="3"/>
      <c r="AIR99" s="3"/>
      <c r="AIS99" s="3"/>
      <c r="AIT99" s="3"/>
      <c r="AIU99" s="3"/>
      <c r="AIV99" s="3"/>
      <c r="AIW99" s="3"/>
      <c r="AIX99" s="3"/>
      <c r="AIY99" s="3"/>
      <c r="AIZ99" s="3"/>
      <c r="AJA99" s="3"/>
      <c r="AJB99" s="3"/>
      <c r="AJC99" s="3"/>
      <c r="AJD99" s="3"/>
      <c r="AJE99" s="3"/>
      <c r="AJF99" s="3"/>
      <c r="AJG99" s="3"/>
      <c r="AJH99" s="3"/>
      <c r="AJI99" s="3"/>
      <c r="AJJ99" s="3"/>
      <c r="AJK99" s="3"/>
      <c r="AJL99" s="3"/>
      <c r="AJM99" s="3"/>
      <c r="AJN99" s="3"/>
      <c r="AJO99" s="3"/>
      <c r="AJP99" s="3"/>
      <c r="AJQ99" s="3"/>
      <c r="AJR99" s="3"/>
      <c r="AJS99" s="3"/>
      <c r="AJT99" s="3"/>
      <c r="AJU99" s="3"/>
      <c r="AJV99" s="3"/>
      <c r="AJW99" s="3"/>
      <c r="AJX99" s="3"/>
      <c r="AJY99" s="3"/>
      <c r="AJZ99" s="3"/>
      <c r="AKA99" s="3"/>
      <c r="AKB99" s="3"/>
      <c r="AKC99" s="3"/>
      <c r="AKD99" s="3"/>
      <c r="AKE99" s="3"/>
      <c r="AKF99" s="3"/>
      <c r="AKG99" s="3"/>
      <c r="AKH99" s="3"/>
      <c r="AKI99" s="3"/>
      <c r="AKJ99" s="3"/>
      <c r="AKK99" s="3"/>
      <c r="AKL99" s="3"/>
      <c r="AKM99" s="3"/>
      <c r="AKN99" s="3"/>
      <c r="AKO99" s="3"/>
      <c r="AKP99" s="3"/>
      <c r="AKQ99" s="3"/>
      <c r="AKR99" s="3"/>
      <c r="AKS99" s="3"/>
      <c r="AKT99" s="3"/>
      <c r="AKU99" s="3"/>
      <c r="AKV99" s="3"/>
      <c r="AKW99" s="3"/>
      <c r="AKX99" s="3"/>
      <c r="AKY99" s="3"/>
      <c r="AKZ99" s="3"/>
      <c r="ALA99" s="3"/>
      <c r="ALB99" s="3"/>
      <c r="ALC99" s="3"/>
      <c r="ALD99" s="3"/>
      <c r="ALE99" s="3"/>
      <c r="ALF99" s="3"/>
      <c r="ALG99" s="3"/>
      <c r="ALH99" s="3"/>
      <c r="ALI99" s="3"/>
      <c r="ALJ99" s="3"/>
      <c r="ALK99" s="3"/>
      <c r="ALL99" s="3"/>
      <c r="ALM99" s="3"/>
      <c r="ALN99" s="3"/>
      <c r="ALO99" s="3"/>
      <c r="ALP99" s="3"/>
      <c r="ALQ99" s="3"/>
      <c r="ALR99" s="3"/>
      <c r="ALS99" s="3"/>
      <c r="ALT99" s="3"/>
      <c r="ALU99" s="3"/>
      <c r="ALV99" s="3"/>
      <c r="ALW99" s="3"/>
      <c r="ALX99" s="3"/>
      <c r="ALY99" s="3"/>
      <c r="ALZ99" s="3"/>
      <c r="AMA99" s="3"/>
      <c r="AMB99" s="3"/>
      <c r="AMC99" s="3"/>
      <c r="AMD99" s="3"/>
      <c r="AME99" s="3"/>
      <c r="AMF99" s="3"/>
      <c r="AMG99" s="3"/>
      <c r="AMH99" s="3"/>
      <c r="AMI99" s="3"/>
      <c r="AMJ99" s="3"/>
      <c r="AMK99" s="3"/>
      <c r="AML99" s="3"/>
      <c r="AMM99" s="3"/>
      <c r="AMN99" s="3"/>
      <c r="AMO99" s="3"/>
      <c r="AMP99" s="3"/>
      <c r="AMQ99" s="3"/>
      <c r="AMR99" s="3"/>
      <c r="AMS99" s="3"/>
      <c r="AMT99" s="3"/>
      <c r="AMU99" s="3"/>
      <c r="AMV99" s="3"/>
      <c r="AMW99" s="3"/>
      <c r="AMX99" s="3"/>
      <c r="AMY99" s="3"/>
      <c r="AMZ99" s="3"/>
      <c r="ANA99" s="3"/>
      <c r="ANB99" s="3"/>
      <c r="ANC99" s="3"/>
      <c r="AND99" s="3"/>
      <c r="ANE99" s="3"/>
      <c r="ANF99" s="3"/>
      <c r="ANG99" s="3"/>
      <c r="ANH99" s="3"/>
      <c r="ANI99" s="3"/>
      <c r="ANJ99" s="3"/>
      <c r="ANK99" s="3"/>
      <c r="ANL99" s="3"/>
      <c r="ANM99" s="3"/>
      <c r="ANN99" s="3"/>
      <c r="ANO99" s="3"/>
      <c r="ANP99" s="3"/>
      <c r="ANQ99" s="3"/>
      <c r="ANR99" s="3"/>
      <c r="ANS99" s="3"/>
      <c r="ANT99" s="3"/>
      <c r="ANU99" s="3"/>
      <c r="ANV99" s="3"/>
      <c r="ANW99" s="3"/>
      <c r="ANX99" s="3"/>
      <c r="ANY99" s="3"/>
      <c r="ANZ99" s="3"/>
      <c r="AOA99" s="3"/>
      <c r="AOB99" s="3"/>
      <c r="AOC99" s="3"/>
      <c r="AOD99" s="3"/>
      <c r="AOE99" s="3"/>
      <c r="AOF99" s="3"/>
      <c r="AOG99" s="3"/>
      <c r="AOH99" s="3"/>
      <c r="AOI99" s="3"/>
      <c r="AOJ99" s="3"/>
      <c r="AOK99" s="3"/>
      <c r="AOL99" s="3"/>
      <c r="AOM99" s="3"/>
      <c r="AON99" s="3"/>
      <c r="AOO99" s="3"/>
      <c r="AOP99" s="3"/>
      <c r="AOQ99" s="3"/>
      <c r="AOR99" s="3"/>
      <c r="AOS99" s="3"/>
      <c r="AOT99" s="3"/>
      <c r="AOU99" s="3"/>
      <c r="AOV99" s="3"/>
      <c r="AOW99" s="3"/>
      <c r="AOX99" s="3"/>
      <c r="AOY99" s="3"/>
      <c r="AOZ99" s="3"/>
      <c r="APA99" s="3"/>
      <c r="APB99" s="3"/>
      <c r="APC99" s="3"/>
      <c r="APD99" s="3"/>
      <c r="APE99" s="3"/>
      <c r="APF99" s="3"/>
      <c r="APG99" s="3"/>
      <c r="APH99" s="3"/>
      <c r="API99" s="3"/>
      <c r="APJ99" s="3"/>
      <c r="APK99" s="3"/>
      <c r="APL99" s="3"/>
      <c r="APM99" s="3"/>
      <c r="APN99" s="3"/>
      <c r="APO99" s="3"/>
      <c r="APP99" s="3"/>
      <c r="APQ99" s="3"/>
      <c r="APR99" s="3"/>
      <c r="APS99" s="3"/>
      <c r="APT99" s="3"/>
      <c r="APU99" s="3"/>
      <c r="APV99" s="3"/>
      <c r="APW99" s="3"/>
      <c r="APX99" s="3"/>
      <c r="APY99" s="3"/>
      <c r="APZ99" s="3"/>
      <c r="AQA99" s="3"/>
      <c r="AQB99" s="3"/>
      <c r="AQC99" s="3"/>
      <c r="AQD99" s="3"/>
      <c r="AQE99" s="3"/>
      <c r="AQF99" s="3"/>
      <c r="AQG99" s="3"/>
      <c r="AQH99" s="3"/>
      <c r="AQI99" s="3"/>
      <c r="AQJ99" s="3"/>
      <c r="AQK99" s="3"/>
      <c r="AQL99" s="3"/>
      <c r="AQM99" s="3"/>
      <c r="AQN99" s="3"/>
      <c r="AQO99" s="3"/>
      <c r="AQP99" s="3"/>
      <c r="AQQ99" s="3"/>
      <c r="AQR99" s="3"/>
      <c r="AQS99" s="3"/>
      <c r="AQT99" s="3"/>
      <c r="AQU99" s="3"/>
      <c r="AQV99" s="3"/>
      <c r="AQW99" s="3"/>
      <c r="AQX99" s="3"/>
      <c r="AQY99" s="3"/>
      <c r="AQZ99" s="3"/>
      <c r="ARA99" s="3"/>
      <c r="ARB99" s="3"/>
      <c r="ARC99" s="3"/>
      <c r="ARD99" s="3"/>
      <c r="ARE99" s="3"/>
      <c r="ARF99" s="3"/>
      <c r="ARG99" s="3"/>
      <c r="ARH99" s="3"/>
      <c r="ARI99" s="3"/>
      <c r="ARJ99" s="3"/>
      <c r="ARK99" s="3"/>
      <c r="ARL99" s="3"/>
      <c r="ARM99" s="3"/>
      <c r="ARN99" s="3"/>
      <c r="ARO99" s="3"/>
      <c r="ARP99" s="3"/>
      <c r="ARQ99" s="3"/>
      <c r="ARR99" s="3"/>
      <c r="ARS99" s="3"/>
      <c r="ART99" s="3"/>
      <c r="ARU99" s="3"/>
      <c r="ARV99" s="3"/>
      <c r="ARW99" s="3"/>
      <c r="ARX99" s="3"/>
      <c r="ARY99" s="3"/>
      <c r="ARZ99" s="3"/>
      <c r="ASA99" s="3"/>
      <c r="ASB99" s="3"/>
      <c r="ASC99" s="3"/>
      <c r="ASD99" s="3"/>
      <c r="ASE99" s="3"/>
      <c r="ASF99" s="3"/>
      <c r="ASG99" s="3"/>
      <c r="ASH99" s="3"/>
      <c r="ASI99" s="3"/>
      <c r="ASJ99" s="3"/>
      <c r="ASK99" s="3"/>
      <c r="ASL99" s="3"/>
      <c r="ASM99" s="3"/>
      <c r="ASN99" s="3"/>
      <c r="ASO99" s="3"/>
      <c r="ASP99" s="3"/>
      <c r="ASQ99" s="3"/>
      <c r="ASR99" s="3"/>
      <c r="ASS99" s="3"/>
      <c r="AST99" s="3"/>
      <c r="ASU99" s="3"/>
      <c r="ASV99" s="3"/>
      <c r="ASW99" s="3"/>
      <c r="ASX99" s="3"/>
      <c r="ASY99" s="3"/>
      <c r="ASZ99" s="3"/>
      <c r="ATA99" s="3"/>
      <c r="ATB99" s="3"/>
      <c r="ATC99" s="3"/>
      <c r="ATD99" s="3"/>
      <c r="ATE99" s="3"/>
      <c r="ATF99" s="3"/>
      <c r="ATG99" s="3"/>
      <c r="ATH99" s="3"/>
      <c r="ATI99" s="3"/>
      <c r="ATJ99" s="3"/>
      <c r="ATK99" s="3"/>
      <c r="ATL99" s="3"/>
      <c r="ATM99" s="3"/>
      <c r="ATN99" s="3"/>
      <c r="ATO99" s="3"/>
      <c r="ATP99" s="3"/>
      <c r="ATQ99" s="3"/>
      <c r="ATR99" s="3"/>
      <c r="ATS99" s="3"/>
      <c r="ATT99" s="3"/>
      <c r="ATU99" s="3"/>
      <c r="ATV99" s="3"/>
      <c r="ATW99" s="3"/>
      <c r="ATX99" s="3"/>
      <c r="ATY99" s="3"/>
      <c r="ATZ99" s="3"/>
      <c r="AUA99" s="3"/>
      <c r="AUB99" s="3"/>
      <c r="AUC99" s="3"/>
      <c r="AUD99" s="3"/>
      <c r="AUE99" s="3"/>
      <c r="AUF99" s="3"/>
      <c r="AUG99" s="3"/>
      <c r="AUH99" s="3"/>
      <c r="AUI99" s="3"/>
      <c r="AUJ99" s="3"/>
      <c r="AUK99" s="3"/>
      <c r="AUL99" s="3"/>
      <c r="AUM99" s="3"/>
      <c r="AUN99" s="3"/>
      <c r="AUO99" s="3"/>
      <c r="AUP99" s="3"/>
      <c r="AUQ99" s="3"/>
      <c r="AUR99" s="3"/>
      <c r="AUS99" s="3"/>
      <c r="AUT99" s="3"/>
      <c r="AUU99" s="3"/>
      <c r="AUV99" s="3"/>
      <c r="AUW99" s="3"/>
      <c r="AUX99" s="3"/>
      <c r="AUY99" s="3"/>
      <c r="AUZ99" s="3"/>
      <c r="AVA99" s="3"/>
      <c r="AVB99" s="3"/>
      <c r="AVC99" s="3"/>
      <c r="AVD99" s="3"/>
      <c r="AVE99" s="3"/>
      <c r="AVF99" s="3"/>
      <c r="AVG99" s="3"/>
      <c r="AVH99" s="3"/>
      <c r="AVI99" s="3"/>
      <c r="AVJ99" s="3"/>
      <c r="AVK99" s="3"/>
      <c r="AVL99" s="3"/>
      <c r="AVM99" s="3"/>
      <c r="AVN99" s="3"/>
      <c r="AVO99" s="3"/>
      <c r="AVP99" s="3"/>
      <c r="AVQ99" s="3"/>
      <c r="AVR99" s="3"/>
      <c r="AVS99" s="3"/>
      <c r="AVT99" s="3"/>
      <c r="AVU99" s="3"/>
      <c r="AVV99" s="3"/>
      <c r="AVW99" s="3"/>
      <c r="AVX99" s="3"/>
      <c r="AVY99" s="3"/>
      <c r="AVZ99" s="3"/>
      <c r="AWA99" s="3"/>
      <c r="AWB99" s="3"/>
      <c r="AWC99" s="3"/>
      <c r="AWD99" s="3"/>
      <c r="AWE99" s="3"/>
      <c r="AWF99" s="3"/>
      <c r="AWG99" s="3"/>
      <c r="AWH99" s="3"/>
      <c r="AWI99" s="3"/>
      <c r="AWJ99" s="3"/>
      <c r="AWK99" s="3"/>
      <c r="AWL99" s="3"/>
      <c r="AWM99" s="3"/>
      <c r="AWN99" s="3"/>
      <c r="AWO99" s="3"/>
      <c r="AWP99" s="3"/>
      <c r="AWQ99" s="3"/>
      <c r="AWR99" s="3"/>
      <c r="AWS99" s="3"/>
      <c r="AWT99" s="3"/>
      <c r="AWU99" s="3"/>
      <c r="AWV99" s="3"/>
      <c r="AWW99" s="3"/>
      <c r="AWX99" s="3"/>
      <c r="AWY99" s="3"/>
      <c r="AWZ99" s="3"/>
      <c r="AXA99" s="3"/>
      <c r="AXB99" s="3"/>
      <c r="AXC99" s="3"/>
      <c r="AXD99" s="3"/>
      <c r="AXE99" s="3"/>
      <c r="AXF99" s="3"/>
      <c r="AXG99" s="3"/>
      <c r="AXH99" s="3"/>
      <c r="AXI99" s="3"/>
      <c r="AXJ99" s="3"/>
      <c r="AXK99" s="3"/>
      <c r="AXL99" s="3"/>
      <c r="AXM99" s="3"/>
      <c r="AXN99" s="3"/>
      <c r="AXO99" s="3"/>
      <c r="AXP99" s="3"/>
      <c r="AXQ99" s="3"/>
      <c r="AXR99" s="3"/>
      <c r="AXS99" s="3"/>
      <c r="AXT99" s="3"/>
      <c r="AXU99" s="3"/>
      <c r="AXV99" s="3"/>
      <c r="AXW99" s="3"/>
      <c r="AXX99" s="3"/>
      <c r="AXY99" s="3"/>
      <c r="AXZ99" s="3"/>
      <c r="AYA99" s="3"/>
      <c r="AYB99" s="3"/>
      <c r="AYC99" s="3"/>
      <c r="AYD99" s="3"/>
      <c r="AYE99" s="3"/>
      <c r="AYF99" s="3"/>
      <c r="AYG99" s="3"/>
      <c r="AYH99" s="3"/>
      <c r="AYI99" s="3"/>
      <c r="AYJ99" s="3"/>
      <c r="AYK99" s="3"/>
      <c r="AYL99" s="3"/>
      <c r="AYM99" s="3"/>
      <c r="AYN99" s="3"/>
      <c r="AYO99" s="3"/>
      <c r="AYP99" s="3"/>
      <c r="AYQ99" s="3"/>
      <c r="AYR99" s="3"/>
      <c r="AYS99" s="3"/>
      <c r="AYT99" s="3"/>
      <c r="AYU99" s="3"/>
      <c r="AYV99" s="3"/>
      <c r="AYW99" s="3"/>
      <c r="AYX99" s="3"/>
      <c r="AYY99" s="3"/>
      <c r="AYZ99" s="3"/>
      <c r="AZA99" s="3"/>
      <c r="AZB99" s="3"/>
      <c r="AZC99" s="3"/>
      <c r="AZD99" s="3"/>
      <c r="AZE99" s="3"/>
      <c r="AZF99" s="3"/>
      <c r="AZG99" s="3"/>
      <c r="AZH99" s="3"/>
      <c r="AZI99" s="3"/>
      <c r="AZJ99" s="3"/>
      <c r="AZK99" s="3"/>
      <c r="AZL99" s="3"/>
      <c r="AZM99" s="3"/>
      <c r="AZN99" s="3"/>
      <c r="AZO99" s="3"/>
      <c r="AZP99" s="3"/>
      <c r="AZQ99" s="3"/>
      <c r="AZR99" s="3"/>
      <c r="AZS99" s="3"/>
      <c r="AZT99" s="3"/>
      <c r="AZU99" s="3"/>
      <c r="AZV99" s="3"/>
      <c r="AZW99" s="3"/>
      <c r="AZX99" s="3"/>
      <c r="AZY99" s="3"/>
      <c r="AZZ99" s="3"/>
      <c r="BAA99" s="3"/>
      <c r="BAB99" s="3"/>
      <c r="BAC99" s="3"/>
      <c r="BAD99" s="3"/>
      <c r="BAE99" s="3"/>
      <c r="BAF99" s="3"/>
      <c r="BAG99" s="3"/>
      <c r="BAH99" s="3"/>
      <c r="BAI99" s="3"/>
      <c r="BAJ99" s="3"/>
      <c r="BAK99" s="3"/>
      <c r="BAL99" s="3"/>
      <c r="BAM99" s="3"/>
      <c r="BAN99" s="3"/>
      <c r="BAO99" s="3"/>
      <c r="BAP99" s="3"/>
      <c r="BAQ99" s="3"/>
      <c r="BAR99" s="3"/>
      <c r="BAS99" s="3"/>
      <c r="BAT99" s="3"/>
      <c r="BAU99" s="3"/>
      <c r="BAV99" s="3"/>
      <c r="BAW99" s="3"/>
      <c r="BAX99" s="3"/>
      <c r="BAY99" s="3"/>
      <c r="BAZ99" s="3"/>
      <c r="BBA99" s="3"/>
      <c r="BBB99" s="3"/>
      <c r="BBC99" s="3"/>
      <c r="BBD99" s="3"/>
      <c r="BBE99" s="3"/>
      <c r="BBF99" s="3"/>
      <c r="BBG99" s="3"/>
      <c r="BBH99" s="3"/>
      <c r="BBI99" s="3"/>
      <c r="BBJ99" s="3"/>
      <c r="BBK99" s="3"/>
      <c r="BBL99" s="3"/>
      <c r="BBM99" s="3"/>
      <c r="BBN99" s="3"/>
      <c r="BBO99" s="3"/>
      <c r="BBP99" s="3"/>
      <c r="BBQ99" s="3"/>
      <c r="BBR99" s="3"/>
      <c r="BBS99" s="3"/>
      <c r="BBT99" s="3"/>
      <c r="BBU99" s="3"/>
      <c r="BBV99" s="3"/>
      <c r="BBW99" s="3"/>
      <c r="BBX99" s="3"/>
      <c r="BBY99" s="3"/>
      <c r="BBZ99" s="3"/>
      <c r="BCA99" s="3"/>
      <c r="BCB99" s="3"/>
      <c r="BCC99" s="3"/>
      <c r="BCD99" s="3"/>
      <c r="BCE99" s="3"/>
      <c r="BCF99" s="3"/>
      <c r="BCG99" s="3"/>
      <c r="BCH99" s="3"/>
      <c r="BCI99" s="3"/>
      <c r="BCJ99" s="3"/>
      <c r="BCK99" s="3"/>
      <c r="BCL99" s="3"/>
      <c r="BCM99" s="3"/>
      <c r="BCN99" s="3"/>
      <c r="BCO99" s="3"/>
      <c r="BCP99" s="3"/>
      <c r="BCQ99" s="3"/>
      <c r="BCR99" s="3"/>
      <c r="BCS99" s="3"/>
      <c r="BCT99" s="3"/>
      <c r="BCU99" s="3"/>
      <c r="BCV99" s="3"/>
      <c r="BCW99" s="3"/>
      <c r="BCX99" s="3"/>
      <c r="BCY99" s="3"/>
      <c r="BCZ99" s="3"/>
      <c r="BDA99" s="3"/>
      <c r="BDB99" s="3"/>
      <c r="BDC99" s="3"/>
      <c r="BDD99" s="3"/>
      <c r="BDE99" s="3"/>
      <c r="BDF99" s="3"/>
      <c r="BDG99" s="3"/>
      <c r="BDH99" s="3"/>
      <c r="BDI99" s="3"/>
      <c r="BDJ99" s="3"/>
      <c r="BDK99" s="3"/>
      <c r="BDL99" s="3"/>
      <c r="BDM99" s="3"/>
      <c r="BDN99" s="3"/>
      <c r="BDO99" s="3"/>
      <c r="BDP99" s="3"/>
      <c r="BDQ99" s="3"/>
      <c r="BDR99" s="3"/>
      <c r="BDS99" s="3"/>
      <c r="BDT99" s="3"/>
      <c r="BDU99" s="3"/>
      <c r="BDV99" s="3"/>
      <c r="BDW99" s="3"/>
      <c r="BDX99" s="3"/>
      <c r="BDY99" s="3"/>
      <c r="BDZ99" s="3"/>
      <c r="BEA99" s="3"/>
      <c r="BEB99" s="3"/>
      <c r="BEC99" s="3"/>
      <c r="BED99" s="3"/>
      <c r="BEE99" s="3"/>
      <c r="BEF99" s="3"/>
      <c r="BEG99" s="3"/>
      <c r="BEH99" s="3"/>
      <c r="BEI99" s="3"/>
      <c r="BEJ99" s="3"/>
      <c r="BEK99" s="3"/>
      <c r="BEL99" s="3"/>
      <c r="BEM99" s="3"/>
      <c r="BEN99" s="3"/>
      <c r="BEO99" s="3"/>
      <c r="BEP99" s="3"/>
      <c r="BEQ99" s="3"/>
      <c r="BER99" s="3"/>
      <c r="BES99" s="3"/>
      <c r="BET99" s="3"/>
      <c r="BEU99" s="3"/>
      <c r="BEV99" s="3"/>
      <c r="BEW99" s="3"/>
      <c r="BEX99" s="3"/>
      <c r="BEY99" s="3"/>
      <c r="BEZ99" s="3"/>
      <c r="BFA99" s="3"/>
      <c r="BFB99" s="3"/>
      <c r="BFC99" s="3"/>
      <c r="BFD99" s="3"/>
      <c r="BFE99" s="3"/>
      <c r="BFF99" s="3"/>
      <c r="BFG99" s="3"/>
      <c r="BFH99" s="3"/>
      <c r="BFI99" s="3"/>
      <c r="BFJ99" s="3"/>
      <c r="BFK99" s="3"/>
      <c r="BFL99" s="3"/>
      <c r="BFM99" s="3"/>
      <c r="BFN99" s="3"/>
      <c r="BFO99" s="3"/>
      <c r="BFP99" s="3"/>
      <c r="BFQ99" s="3"/>
      <c r="BFR99" s="3"/>
      <c r="BFS99" s="3"/>
      <c r="BFT99" s="3"/>
      <c r="BFU99" s="3"/>
      <c r="BFV99" s="3"/>
      <c r="BFW99" s="3"/>
      <c r="BFX99" s="3"/>
      <c r="BFY99" s="3"/>
      <c r="BFZ99" s="3"/>
      <c r="BGA99" s="3"/>
      <c r="BGB99" s="3"/>
      <c r="BGC99" s="3"/>
      <c r="BGD99" s="3"/>
      <c r="BGE99" s="3"/>
      <c r="BGF99" s="3"/>
      <c r="BGG99" s="3"/>
      <c r="BGH99" s="3"/>
      <c r="BGI99" s="3"/>
      <c r="BGJ99" s="3"/>
      <c r="BGK99" s="3"/>
      <c r="BGL99" s="3"/>
      <c r="BGM99" s="3"/>
      <c r="BGN99" s="3"/>
      <c r="BGO99" s="3"/>
      <c r="BGP99" s="3"/>
      <c r="BGQ99" s="3"/>
      <c r="BGR99" s="3"/>
      <c r="BGS99" s="3"/>
      <c r="BGT99" s="3"/>
      <c r="BGU99" s="3"/>
      <c r="BGV99" s="3"/>
      <c r="BGW99" s="3"/>
      <c r="BGX99" s="3"/>
      <c r="BGY99" s="3"/>
      <c r="BGZ99" s="3"/>
      <c r="BHA99" s="3"/>
      <c r="BHB99" s="3"/>
      <c r="BHC99" s="3"/>
      <c r="BHD99" s="3"/>
      <c r="BHE99" s="3"/>
      <c r="BHF99" s="3"/>
      <c r="BHG99" s="3"/>
      <c r="BHH99" s="3"/>
      <c r="BHI99" s="3"/>
      <c r="BHJ99" s="3"/>
      <c r="BHK99" s="3"/>
      <c r="BHL99" s="3"/>
      <c r="BHM99" s="3"/>
      <c r="BHN99" s="3"/>
      <c r="BHO99" s="3"/>
      <c r="BHP99" s="3"/>
      <c r="BHQ99" s="3"/>
      <c r="BHR99" s="3"/>
      <c r="BHS99" s="3"/>
      <c r="BHT99" s="3"/>
      <c r="BHU99" s="3"/>
      <c r="BHV99" s="3"/>
      <c r="BHW99" s="3"/>
      <c r="BHX99" s="3"/>
      <c r="BHY99" s="3"/>
      <c r="BHZ99" s="3"/>
      <c r="BIA99" s="3"/>
      <c r="BIB99" s="3"/>
      <c r="BIC99" s="3"/>
      <c r="BID99" s="3"/>
      <c r="BIE99" s="3"/>
    </row>
    <row r="100" spans="1:1671" x14ac:dyDescent="0.25">
      <c r="A100" s="26" t="s">
        <v>128</v>
      </c>
      <c r="B100" s="27"/>
      <c r="C100" s="10">
        <f>AVERAGE(logistics!B21:K21)</f>
        <v>1.424683E-4</v>
      </c>
      <c r="D100" s="11">
        <f>AVERAGE(logistics!B50:K50)</f>
        <v>2.3138399999999995E-5</v>
      </c>
      <c r="E100" s="15">
        <f t="shared" si="2"/>
        <v>1.441124060801888</v>
      </c>
      <c r="F100" s="15">
        <f t="shared" si="3"/>
        <v>5.1572234899560918</v>
      </c>
      <c r="G100" s="6" t="s">
        <v>87</v>
      </c>
      <c r="H100" s="18">
        <v>1.7923505729327962</v>
      </c>
      <c r="I100" s="3"/>
      <c r="J100" s="6" t="s">
        <v>87</v>
      </c>
      <c r="K100" s="18">
        <v>17.263236390753164</v>
      </c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  <c r="DK100" s="3"/>
      <c r="DL100" s="3"/>
      <c r="DM100" s="3"/>
      <c r="DN100" s="3"/>
      <c r="DO100" s="3"/>
      <c r="DP100" s="3"/>
      <c r="DQ100" s="3"/>
      <c r="DR100" s="3"/>
      <c r="DS100" s="3"/>
      <c r="DT100" s="3"/>
      <c r="DU100" s="3"/>
      <c r="DV100" s="3"/>
      <c r="DW100" s="3"/>
      <c r="DX100" s="3"/>
      <c r="DY100" s="3"/>
      <c r="DZ100" s="3"/>
      <c r="EA100" s="3"/>
      <c r="EB100" s="3"/>
      <c r="EC100" s="3"/>
      <c r="ED100" s="3"/>
      <c r="EE100" s="3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  <c r="FH100" s="3"/>
      <c r="FI100" s="3"/>
      <c r="FJ100" s="3"/>
      <c r="FK100" s="3"/>
      <c r="FL100" s="3"/>
      <c r="FM100" s="3"/>
      <c r="FN100" s="3"/>
      <c r="FO100" s="3"/>
      <c r="FP100" s="3"/>
      <c r="FQ100" s="3"/>
      <c r="FR100" s="3"/>
      <c r="FS100" s="3"/>
      <c r="FT100" s="3"/>
      <c r="FU100" s="3"/>
      <c r="FV100" s="3"/>
      <c r="FW100" s="3"/>
      <c r="FX100" s="3"/>
      <c r="FY100" s="3"/>
      <c r="FZ100" s="3"/>
      <c r="GA100" s="3"/>
      <c r="GB100" s="3"/>
      <c r="GC100" s="3"/>
      <c r="GD100" s="3"/>
      <c r="GE100" s="3"/>
      <c r="GF100" s="3"/>
      <c r="GG100" s="3"/>
      <c r="GH100" s="3"/>
      <c r="GI100" s="3"/>
      <c r="GJ100" s="3"/>
      <c r="GK100" s="3"/>
      <c r="GL100" s="3"/>
      <c r="GM100" s="3"/>
      <c r="GN100" s="3"/>
      <c r="GO100" s="3"/>
      <c r="GP100" s="3"/>
      <c r="GQ100" s="3"/>
      <c r="GR100" s="3"/>
      <c r="GS100" s="3"/>
      <c r="GT100" s="3"/>
      <c r="GU100" s="3"/>
      <c r="GV100" s="3"/>
      <c r="GW100" s="3"/>
      <c r="GX100" s="3"/>
      <c r="GY100" s="3"/>
      <c r="GZ100" s="3"/>
      <c r="HA100" s="3"/>
      <c r="HB100" s="3"/>
      <c r="HC100" s="3"/>
      <c r="HD100" s="3"/>
      <c r="HE100" s="3"/>
      <c r="HF100" s="3"/>
      <c r="HG100" s="3"/>
      <c r="HH100" s="3"/>
      <c r="HI100" s="3"/>
      <c r="HJ100" s="3"/>
      <c r="HK100" s="3"/>
      <c r="HL100" s="3"/>
      <c r="HM100" s="3"/>
      <c r="HN100" s="3"/>
      <c r="HO100" s="3"/>
      <c r="HP100" s="3"/>
      <c r="HQ100" s="3"/>
      <c r="HR100" s="3"/>
      <c r="HS100" s="3"/>
      <c r="HT100" s="3"/>
      <c r="HU100" s="3"/>
      <c r="HV100" s="3"/>
      <c r="HW100" s="3"/>
      <c r="HX100" s="3"/>
      <c r="HY100" s="3"/>
      <c r="HZ100" s="3"/>
      <c r="IA100" s="3"/>
      <c r="IB100" s="3"/>
      <c r="IC100" s="3"/>
      <c r="ID100" s="3"/>
      <c r="IE100" s="3"/>
      <c r="IF100" s="3"/>
      <c r="IG100" s="3"/>
      <c r="IH100" s="3"/>
      <c r="II100" s="3"/>
      <c r="IJ100" s="3"/>
      <c r="IK100" s="3"/>
      <c r="IL100" s="3"/>
      <c r="IM100" s="3"/>
      <c r="IN100" s="3"/>
      <c r="IO100" s="3"/>
      <c r="IP100" s="3"/>
      <c r="IQ100" s="3"/>
      <c r="IR100" s="3"/>
      <c r="IS100" s="3"/>
      <c r="IT100" s="3"/>
      <c r="IU100" s="3"/>
      <c r="IV100" s="3"/>
      <c r="IW100" s="3"/>
      <c r="IX100" s="3"/>
      <c r="IY100" s="3"/>
      <c r="IZ100" s="3"/>
      <c r="JA100" s="3"/>
      <c r="JB100" s="3"/>
      <c r="JC100" s="3"/>
      <c r="JD100" s="3"/>
      <c r="JE100" s="3"/>
      <c r="JF100" s="3"/>
      <c r="JG100" s="3"/>
      <c r="JH100" s="3"/>
      <c r="JI100" s="3"/>
      <c r="JJ100" s="3"/>
      <c r="JK100" s="3"/>
      <c r="JL100" s="3"/>
      <c r="JM100" s="3"/>
      <c r="JN100" s="3"/>
      <c r="JO100" s="3"/>
      <c r="JP100" s="3"/>
      <c r="JQ100" s="3"/>
      <c r="JR100" s="3"/>
      <c r="JS100" s="3"/>
      <c r="JT100" s="3"/>
      <c r="JU100" s="3"/>
      <c r="JV100" s="3"/>
      <c r="JW100" s="3"/>
      <c r="JX100" s="3"/>
      <c r="JY100" s="3"/>
      <c r="JZ100" s="3"/>
      <c r="KA100" s="3"/>
      <c r="KB100" s="3"/>
      <c r="KC100" s="3"/>
      <c r="KD100" s="3"/>
      <c r="KE100" s="3"/>
      <c r="KF100" s="3"/>
      <c r="KG100" s="3"/>
      <c r="KH100" s="3"/>
      <c r="KI100" s="3"/>
      <c r="KJ100" s="3"/>
      <c r="KK100" s="3"/>
      <c r="KL100" s="3"/>
      <c r="KM100" s="3"/>
      <c r="KN100" s="3"/>
      <c r="KO100" s="3"/>
      <c r="KP100" s="3"/>
      <c r="KQ100" s="3"/>
      <c r="KR100" s="3"/>
      <c r="KS100" s="3"/>
      <c r="KT100" s="3"/>
      <c r="KU100" s="3"/>
      <c r="KV100" s="3"/>
      <c r="KW100" s="3"/>
      <c r="KX100" s="3"/>
      <c r="KY100" s="3"/>
      <c r="KZ100" s="3"/>
      <c r="LA100" s="3"/>
      <c r="LB100" s="3"/>
      <c r="LC100" s="3"/>
      <c r="LD100" s="3"/>
      <c r="LE100" s="3"/>
      <c r="LF100" s="3"/>
      <c r="LG100" s="3"/>
      <c r="LH100" s="3"/>
      <c r="LI100" s="3"/>
      <c r="LJ100" s="3"/>
      <c r="LK100" s="3"/>
      <c r="LL100" s="3"/>
      <c r="LM100" s="3"/>
      <c r="LN100" s="3"/>
      <c r="LO100" s="3"/>
      <c r="LP100" s="3"/>
      <c r="LQ100" s="3"/>
      <c r="LR100" s="3"/>
      <c r="LS100" s="3"/>
      <c r="LT100" s="3"/>
      <c r="LU100" s="3"/>
      <c r="LV100" s="3"/>
      <c r="LW100" s="3"/>
      <c r="LX100" s="3"/>
      <c r="LY100" s="3"/>
      <c r="LZ100" s="3"/>
      <c r="MA100" s="3"/>
      <c r="MB100" s="3"/>
      <c r="MC100" s="3"/>
      <c r="MD100" s="3"/>
      <c r="ME100" s="3"/>
      <c r="MF100" s="3"/>
      <c r="MG100" s="3"/>
      <c r="MH100" s="3"/>
      <c r="MI100" s="3"/>
      <c r="MJ100" s="3"/>
      <c r="MK100" s="3"/>
      <c r="ML100" s="3"/>
      <c r="MM100" s="3"/>
      <c r="MN100" s="3"/>
      <c r="MO100" s="3"/>
      <c r="MP100" s="3"/>
      <c r="MQ100" s="3"/>
      <c r="MR100" s="3"/>
      <c r="MS100" s="3"/>
      <c r="MT100" s="3"/>
      <c r="MU100" s="3"/>
      <c r="MV100" s="3"/>
      <c r="MW100" s="3"/>
      <c r="MX100" s="3"/>
      <c r="MY100" s="3"/>
      <c r="MZ100" s="3"/>
      <c r="NA100" s="3"/>
      <c r="NB100" s="3"/>
      <c r="NC100" s="3"/>
      <c r="ND100" s="3"/>
      <c r="NE100" s="3"/>
      <c r="NF100" s="3"/>
      <c r="NG100" s="3"/>
      <c r="NH100" s="3"/>
      <c r="NI100" s="3"/>
      <c r="NJ100" s="3"/>
      <c r="NK100" s="3"/>
      <c r="NL100" s="3"/>
      <c r="NM100" s="3"/>
      <c r="NN100" s="3"/>
      <c r="NO100" s="3"/>
      <c r="NP100" s="3"/>
      <c r="NQ100" s="3"/>
      <c r="NR100" s="3"/>
      <c r="NS100" s="3"/>
      <c r="NT100" s="3"/>
      <c r="NU100" s="3"/>
      <c r="NV100" s="3"/>
      <c r="NW100" s="3"/>
      <c r="NX100" s="3"/>
      <c r="NY100" s="3"/>
      <c r="NZ100" s="3"/>
      <c r="OA100" s="3"/>
      <c r="OB100" s="3"/>
      <c r="OC100" s="3"/>
      <c r="OD100" s="3"/>
      <c r="OE100" s="3"/>
      <c r="OF100" s="3"/>
      <c r="OG100" s="3"/>
      <c r="OH100" s="3"/>
      <c r="OI100" s="3"/>
      <c r="OJ100" s="3"/>
      <c r="OK100" s="3"/>
      <c r="OL100" s="3"/>
      <c r="OM100" s="3"/>
      <c r="ON100" s="3"/>
      <c r="OO100" s="3"/>
      <c r="OP100" s="3"/>
      <c r="OQ100" s="3"/>
      <c r="OR100" s="3"/>
      <c r="OS100" s="3"/>
      <c r="OT100" s="3"/>
      <c r="OU100" s="3"/>
      <c r="OV100" s="3"/>
      <c r="OW100" s="3"/>
      <c r="OX100" s="3"/>
      <c r="OY100" s="3"/>
      <c r="OZ100" s="3"/>
      <c r="PA100" s="3"/>
      <c r="PB100" s="3"/>
      <c r="PC100" s="3"/>
      <c r="PD100" s="3"/>
      <c r="PE100" s="3"/>
      <c r="PF100" s="3"/>
      <c r="PG100" s="3"/>
      <c r="PH100" s="3"/>
      <c r="PI100" s="3"/>
      <c r="PJ100" s="3"/>
      <c r="PK100" s="3"/>
      <c r="PL100" s="3"/>
      <c r="PM100" s="3"/>
      <c r="PN100" s="3"/>
      <c r="PO100" s="3"/>
      <c r="PP100" s="3"/>
      <c r="PQ100" s="3"/>
      <c r="PR100" s="3"/>
      <c r="PS100" s="3"/>
      <c r="PT100" s="3"/>
      <c r="PU100" s="3"/>
      <c r="PV100" s="3"/>
      <c r="PW100" s="3"/>
      <c r="PX100" s="3"/>
      <c r="PY100" s="3"/>
      <c r="PZ100" s="3"/>
      <c r="QA100" s="3"/>
      <c r="QB100" s="3"/>
      <c r="QC100" s="3"/>
      <c r="QD100" s="3"/>
      <c r="QE100" s="3"/>
      <c r="QF100" s="3"/>
      <c r="QG100" s="3"/>
      <c r="QH100" s="3"/>
      <c r="QI100" s="3"/>
      <c r="QJ100" s="3"/>
      <c r="QK100" s="3"/>
      <c r="QL100" s="3"/>
      <c r="QM100" s="3"/>
      <c r="QN100" s="3"/>
      <c r="QO100" s="3"/>
      <c r="QP100" s="3"/>
      <c r="QQ100" s="3"/>
      <c r="QR100" s="3"/>
      <c r="QS100" s="3"/>
      <c r="QT100" s="3"/>
      <c r="QU100" s="3"/>
      <c r="QV100" s="3"/>
      <c r="QW100" s="3"/>
      <c r="QX100" s="3"/>
      <c r="QY100" s="3"/>
      <c r="QZ100" s="3"/>
      <c r="RA100" s="3"/>
      <c r="RB100" s="3"/>
      <c r="RC100" s="3"/>
      <c r="RD100" s="3"/>
      <c r="RE100" s="3"/>
      <c r="RF100" s="3"/>
      <c r="RG100" s="3"/>
      <c r="RH100" s="3"/>
      <c r="RI100" s="3"/>
      <c r="RJ100" s="3"/>
      <c r="RK100" s="3"/>
      <c r="RL100" s="3"/>
      <c r="RM100" s="3"/>
      <c r="RN100" s="3"/>
      <c r="RO100" s="3"/>
      <c r="RP100" s="3"/>
      <c r="RQ100" s="3"/>
      <c r="RR100" s="3"/>
      <c r="RS100" s="3"/>
      <c r="RT100" s="3"/>
      <c r="RU100" s="3"/>
      <c r="RV100" s="3"/>
      <c r="RW100" s="3"/>
      <c r="RX100" s="3"/>
      <c r="RY100" s="3"/>
      <c r="RZ100" s="3"/>
      <c r="SA100" s="3"/>
      <c r="SB100" s="3"/>
      <c r="SC100" s="3"/>
      <c r="SD100" s="3"/>
      <c r="SE100" s="3"/>
      <c r="SF100" s="3"/>
      <c r="SG100" s="3"/>
      <c r="SH100" s="3"/>
      <c r="SI100" s="3"/>
      <c r="SJ100" s="3"/>
      <c r="SK100" s="3"/>
      <c r="SL100" s="3"/>
      <c r="SM100" s="3"/>
      <c r="SN100" s="3"/>
      <c r="SO100" s="3"/>
      <c r="SP100" s="3"/>
      <c r="SQ100" s="3"/>
      <c r="SR100" s="3"/>
      <c r="SS100" s="3"/>
      <c r="ST100" s="3"/>
      <c r="SU100" s="3"/>
      <c r="SV100" s="3"/>
      <c r="SW100" s="3"/>
      <c r="SX100" s="3"/>
      <c r="SY100" s="3"/>
      <c r="SZ100" s="3"/>
      <c r="TA100" s="3"/>
      <c r="TB100" s="3"/>
      <c r="TC100" s="3"/>
      <c r="TD100" s="3"/>
      <c r="TE100" s="3"/>
      <c r="TF100" s="3"/>
      <c r="TG100" s="3"/>
      <c r="TH100" s="3"/>
      <c r="TI100" s="3"/>
      <c r="TJ100" s="3"/>
      <c r="TK100" s="3"/>
      <c r="TL100" s="3"/>
      <c r="TM100" s="3"/>
      <c r="TN100" s="3"/>
      <c r="TO100" s="3"/>
      <c r="TP100" s="3"/>
      <c r="TQ100" s="3"/>
      <c r="TR100" s="3"/>
      <c r="TS100" s="3"/>
      <c r="TT100" s="3"/>
      <c r="TU100" s="3"/>
      <c r="TV100" s="3"/>
      <c r="TW100" s="3"/>
      <c r="TX100" s="3"/>
      <c r="TY100" s="3"/>
      <c r="TZ100" s="3"/>
      <c r="UA100" s="3"/>
      <c r="UB100" s="3"/>
      <c r="UC100" s="3"/>
      <c r="UD100" s="3"/>
      <c r="UE100" s="3"/>
      <c r="UF100" s="3"/>
      <c r="UG100" s="3"/>
      <c r="UH100" s="3"/>
      <c r="UI100" s="3"/>
      <c r="UJ100" s="3"/>
      <c r="UK100" s="3"/>
      <c r="UL100" s="3"/>
      <c r="UM100" s="3"/>
      <c r="UN100" s="3"/>
      <c r="UO100" s="3"/>
      <c r="UP100" s="3"/>
      <c r="UQ100" s="3"/>
      <c r="UR100" s="3"/>
      <c r="US100" s="3"/>
      <c r="UT100" s="3"/>
      <c r="UU100" s="3"/>
      <c r="UV100" s="3"/>
      <c r="UW100" s="3"/>
      <c r="UX100" s="3"/>
      <c r="UY100" s="3"/>
      <c r="UZ100" s="3"/>
      <c r="VA100" s="3"/>
      <c r="VB100" s="3"/>
      <c r="VC100" s="3"/>
      <c r="VD100" s="3"/>
      <c r="VE100" s="3"/>
      <c r="VF100" s="3"/>
      <c r="VG100" s="3"/>
      <c r="VH100" s="3"/>
      <c r="VI100" s="3"/>
      <c r="VJ100" s="3"/>
      <c r="VK100" s="3"/>
      <c r="VL100" s="3"/>
      <c r="VM100" s="3"/>
      <c r="VN100" s="3"/>
      <c r="VO100" s="3"/>
      <c r="VP100" s="3"/>
      <c r="VQ100" s="3"/>
      <c r="VR100" s="3"/>
      <c r="VS100" s="3"/>
      <c r="VT100" s="3"/>
      <c r="VU100" s="3"/>
      <c r="VV100" s="3"/>
      <c r="VW100" s="3"/>
      <c r="VX100" s="3"/>
      <c r="VY100" s="3"/>
      <c r="VZ100" s="3"/>
      <c r="WA100" s="3"/>
      <c r="WB100" s="3"/>
      <c r="WC100" s="3"/>
      <c r="WD100" s="3"/>
      <c r="WE100" s="3"/>
      <c r="WF100" s="3"/>
      <c r="WG100" s="3"/>
      <c r="WH100" s="3"/>
      <c r="WI100" s="3"/>
      <c r="WJ100" s="3"/>
      <c r="WK100" s="3"/>
      <c r="WL100" s="3"/>
      <c r="WM100" s="3"/>
      <c r="WN100" s="3"/>
      <c r="WO100" s="3"/>
      <c r="WP100" s="3"/>
      <c r="WQ100" s="3"/>
      <c r="WR100" s="3"/>
      <c r="WS100" s="3"/>
      <c r="WT100" s="3"/>
      <c r="WU100" s="3"/>
      <c r="WV100" s="3"/>
      <c r="WW100" s="3"/>
      <c r="WX100" s="3"/>
      <c r="WY100" s="3"/>
      <c r="WZ100" s="3"/>
      <c r="XA100" s="3"/>
      <c r="XB100" s="3"/>
      <c r="XC100" s="3"/>
      <c r="XD100" s="3"/>
      <c r="XE100" s="3"/>
      <c r="XF100" s="3"/>
      <c r="XG100" s="3"/>
      <c r="XH100" s="3"/>
      <c r="XI100" s="3"/>
      <c r="XJ100" s="3"/>
      <c r="XK100" s="3"/>
      <c r="XL100" s="3"/>
      <c r="XM100" s="3"/>
      <c r="XN100" s="3"/>
      <c r="XO100" s="3"/>
      <c r="XP100" s="3"/>
      <c r="XQ100" s="3"/>
      <c r="XR100" s="3"/>
      <c r="XS100" s="3"/>
      <c r="XT100" s="3"/>
      <c r="XU100" s="3"/>
      <c r="XV100" s="3"/>
      <c r="XW100" s="3"/>
      <c r="XX100" s="3"/>
      <c r="XY100" s="3"/>
      <c r="XZ100" s="3"/>
      <c r="YA100" s="3"/>
      <c r="YB100" s="3"/>
      <c r="YC100" s="3"/>
      <c r="YD100" s="3"/>
      <c r="YE100" s="3"/>
      <c r="YF100" s="3"/>
      <c r="YG100" s="3"/>
      <c r="YH100" s="3"/>
      <c r="YI100" s="3"/>
      <c r="YJ100" s="3"/>
      <c r="YK100" s="3"/>
      <c r="YL100" s="3"/>
      <c r="YM100" s="3"/>
      <c r="YN100" s="3"/>
      <c r="YO100" s="3"/>
      <c r="YP100" s="3"/>
      <c r="YQ100" s="3"/>
      <c r="YR100" s="3"/>
      <c r="YS100" s="3"/>
      <c r="YT100" s="3"/>
      <c r="YU100" s="3"/>
      <c r="YV100" s="3"/>
      <c r="YW100" s="3"/>
      <c r="YX100" s="3"/>
      <c r="YY100" s="3"/>
      <c r="YZ100" s="3"/>
      <c r="ZA100" s="3"/>
      <c r="ZB100" s="3"/>
      <c r="ZC100" s="3"/>
      <c r="ZD100" s="3"/>
      <c r="ZE100" s="3"/>
      <c r="ZF100" s="3"/>
      <c r="ZG100" s="3"/>
      <c r="ZH100" s="3"/>
      <c r="ZI100" s="3"/>
      <c r="ZJ100" s="3"/>
      <c r="ZK100" s="3"/>
      <c r="ZL100" s="3"/>
      <c r="ZM100" s="3"/>
      <c r="ZN100" s="3"/>
      <c r="ZO100" s="3"/>
      <c r="ZP100" s="3"/>
      <c r="ZQ100" s="3"/>
      <c r="ZR100" s="3"/>
      <c r="ZS100" s="3"/>
      <c r="ZT100" s="3"/>
      <c r="ZU100" s="3"/>
      <c r="ZV100" s="3"/>
      <c r="ZW100" s="3"/>
      <c r="ZX100" s="3"/>
      <c r="ZY100" s="3"/>
      <c r="ZZ100" s="3"/>
      <c r="AAA100" s="3"/>
      <c r="AAB100" s="3"/>
      <c r="AAC100" s="3"/>
      <c r="AAD100" s="3"/>
      <c r="AAE100" s="3"/>
      <c r="AAF100" s="3"/>
      <c r="AAG100" s="3"/>
      <c r="AAH100" s="3"/>
      <c r="AAI100" s="3"/>
      <c r="AAJ100" s="3"/>
      <c r="AAK100" s="3"/>
      <c r="AAL100" s="3"/>
      <c r="AAM100" s="3"/>
      <c r="AAN100" s="3"/>
      <c r="AAO100" s="3"/>
      <c r="AAP100" s="3"/>
      <c r="AAQ100" s="3"/>
      <c r="AAR100" s="3"/>
      <c r="AAS100" s="3"/>
      <c r="AAT100" s="3"/>
      <c r="AAU100" s="3"/>
      <c r="AAV100" s="3"/>
      <c r="AAW100" s="3"/>
      <c r="AAX100" s="3"/>
      <c r="AAY100" s="3"/>
      <c r="AAZ100" s="3"/>
      <c r="ABA100" s="3"/>
      <c r="ABB100" s="3"/>
      <c r="ABC100" s="3"/>
      <c r="ABD100" s="3"/>
      <c r="ABE100" s="3"/>
      <c r="ABF100" s="3"/>
      <c r="ABG100" s="3"/>
      <c r="ABH100" s="3"/>
      <c r="ABI100" s="3"/>
      <c r="ABJ100" s="3"/>
      <c r="ABK100" s="3"/>
      <c r="ABL100" s="3"/>
      <c r="ABM100" s="3"/>
      <c r="ABN100" s="3"/>
      <c r="ABO100" s="3"/>
      <c r="ABP100" s="3"/>
      <c r="ABQ100" s="3"/>
      <c r="ABR100" s="3"/>
      <c r="ABS100" s="3"/>
      <c r="ABT100" s="3"/>
      <c r="ABU100" s="3"/>
      <c r="ABV100" s="3"/>
      <c r="ABW100" s="3"/>
      <c r="ABX100" s="3"/>
      <c r="ABY100" s="3"/>
      <c r="ABZ100" s="3"/>
      <c r="ACA100" s="3"/>
      <c r="ACB100" s="3"/>
      <c r="ACC100" s="3"/>
      <c r="ACD100" s="3"/>
      <c r="ACE100" s="3"/>
      <c r="ACF100" s="3"/>
      <c r="ACG100" s="3"/>
      <c r="ACH100" s="3"/>
      <c r="ACI100" s="3"/>
      <c r="ACJ100" s="3"/>
      <c r="ACK100" s="3"/>
      <c r="ACL100" s="3"/>
      <c r="ACM100" s="3"/>
      <c r="ACN100" s="3"/>
      <c r="ACO100" s="3"/>
      <c r="ACP100" s="3"/>
      <c r="ACQ100" s="3"/>
      <c r="ACR100" s="3"/>
      <c r="ACS100" s="3"/>
      <c r="ACT100" s="3"/>
      <c r="ACU100" s="3"/>
      <c r="ACV100" s="3"/>
      <c r="ACW100" s="3"/>
      <c r="ACX100" s="3"/>
      <c r="ACY100" s="3"/>
      <c r="ACZ100" s="3"/>
      <c r="ADA100" s="3"/>
      <c r="ADB100" s="3"/>
      <c r="ADC100" s="3"/>
      <c r="ADD100" s="3"/>
      <c r="ADE100" s="3"/>
      <c r="ADF100" s="3"/>
      <c r="ADG100" s="3"/>
      <c r="ADH100" s="3"/>
      <c r="ADI100" s="3"/>
      <c r="ADJ100" s="3"/>
      <c r="ADK100" s="3"/>
      <c r="ADL100" s="3"/>
      <c r="ADM100" s="3"/>
      <c r="ADN100" s="3"/>
      <c r="ADO100" s="3"/>
      <c r="ADP100" s="3"/>
      <c r="ADQ100" s="3"/>
      <c r="ADR100" s="3"/>
      <c r="ADS100" s="3"/>
      <c r="ADT100" s="3"/>
      <c r="ADU100" s="3"/>
      <c r="ADV100" s="3"/>
      <c r="ADW100" s="3"/>
      <c r="ADX100" s="3"/>
      <c r="ADY100" s="3"/>
      <c r="ADZ100" s="3"/>
      <c r="AEA100" s="3"/>
      <c r="AEB100" s="3"/>
      <c r="AEC100" s="3"/>
      <c r="AED100" s="3"/>
      <c r="AEE100" s="3"/>
      <c r="AEF100" s="3"/>
      <c r="AEG100" s="3"/>
      <c r="AEH100" s="3"/>
      <c r="AEI100" s="3"/>
      <c r="AEJ100" s="3"/>
      <c r="AEK100" s="3"/>
      <c r="AEL100" s="3"/>
      <c r="AEM100" s="3"/>
      <c r="AEN100" s="3"/>
      <c r="AEO100" s="3"/>
      <c r="AEP100" s="3"/>
      <c r="AEQ100" s="3"/>
      <c r="AER100" s="3"/>
      <c r="AES100" s="3"/>
      <c r="AET100" s="3"/>
      <c r="AEU100" s="3"/>
      <c r="AEV100" s="3"/>
      <c r="AEW100" s="3"/>
      <c r="AEX100" s="3"/>
      <c r="AEY100" s="3"/>
      <c r="AEZ100" s="3"/>
      <c r="AFA100" s="3"/>
      <c r="AFB100" s="3"/>
      <c r="AFC100" s="3"/>
      <c r="AFD100" s="3"/>
      <c r="AFE100" s="3"/>
      <c r="AFF100" s="3"/>
      <c r="AFG100" s="3"/>
      <c r="AFH100" s="3"/>
      <c r="AFI100" s="3"/>
      <c r="AFJ100" s="3"/>
      <c r="AFK100" s="3"/>
      <c r="AFL100" s="3"/>
      <c r="AFM100" s="3"/>
      <c r="AFN100" s="3"/>
      <c r="AFO100" s="3"/>
      <c r="AFP100" s="3"/>
      <c r="AFQ100" s="3"/>
      <c r="AFR100" s="3"/>
      <c r="AFS100" s="3"/>
      <c r="AFT100" s="3"/>
      <c r="AFU100" s="3"/>
      <c r="AFV100" s="3"/>
      <c r="AFW100" s="3"/>
      <c r="AFX100" s="3"/>
      <c r="AFY100" s="3"/>
      <c r="AFZ100" s="3"/>
      <c r="AGA100" s="3"/>
      <c r="AGB100" s="3"/>
      <c r="AGC100" s="3"/>
      <c r="AGD100" s="3"/>
      <c r="AGE100" s="3"/>
      <c r="AGF100" s="3"/>
      <c r="AGG100" s="3"/>
      <c r="AGH100" s="3"/>
      <c r="AGI100" s="3"/>
      <c r="AGJ100" s="3"/>
      <c r="AGK100" s="3"/>
      <c r="AGL100" s="3"/>
      <c r="AGM100" s="3"/>
      <c r="AGN100" s="3"/>
      <c r="AGO100" s="3"/>
      <c r="AGP100" s="3"/>
      <c r="AGQ100" s="3"/>
      <c r="AGR100" s="3"/>
      <c r="AGS100" s="3"/>
      <c r="AGT100" s="3"/>
      <c r="AGU100" s="3"/>
      <c r="AGV100" s="3"/>
      <c r="AGW100" s="3"/>
      <c r="AGX100" s="3"/>
      <c r="AGY100" s="3"/>
      <c r="AGZ100" s="3"/>
      <c r="AHA100" s="3"/>
      <c r="AHB100" s="3"/>
      <c r="AHC100" s="3"/>
      <c r="AHD100" s="3"/>
      <c r="AHE100" s="3"/>
      <c r="AHF100" s="3"/>
      <c r="AHG100" s="3"/>
      <c r="AHH100" s="3"/>
      <c r="AHI100" s="3"/>
      <c r="AHJ100" s="3"/>
      <c r="AHK100" s="3"/>
      <c r="AHL100" s="3"/>
      <c r="AHM100" s="3"/>
      <c r="AHN100" s="3"/>
      <c r="AHO100" s="3"/>
      <c r="AHP100" s="3"/>
      <c r="AHQ100" s="3"/>
      <c r="AHR100" s="3"/>
      <c r="AHS100" s="3"/>
      <c r="AHT100" s="3"/>
      <c r="AHU100" s="3"/>
      <c r="AHV100" s="3"/>
      <c r="AHW100" s="3"/>
      <c r="AHX100" s="3"/>
      <c r="AHY100" s="3"/>
      <c r="AHZ100" s="3"/>
      <c r="AIA100" s="3"/>
      <c r="AIB100" s="3"/>
      <c r="AIC100" s="3"/>
      <c r="AID100" s="3"/>
      <c r="AIE100" s="3"/>
      <c r="AIF100" s="3"/>
      <c r="AIG100" s="3"/>
      <c r="AIH100" s="3"/>
      <c r="AII100" s="3"/>
      <c r="AIJ100" s="3"/>
      <c r="AIK100" s="3"/>
      <c r="AIL100" s="3"/>
      <c r="AIM100" s="3"/>
      <c r="AIN100" s="3"/>
      <c r="AIO100" s="3"/>
      <c r="AIP100" s="3"/>
      <c r="AIQ100" s="3"/>
      <c r="AIR100" s="3"/>
      <c r="AIS100" s="3"/>
      <c r="AIT100" s="3"/>
      <c r="AIU100" s="3"/>
      <c r="AIV100" s="3"/>
      <c r="AIW100" s="3"/>
      <c r="AIX100" s="3"/>
      <c r="AIY100" s="3"/>
      <c r="AIZ100" s="3"/>
      <c r="AJA100" s="3"/>
      <c r="AJB100" s="3"/>
      <c r="AJC100" s="3"/>
      <c r="AJD100" s="3"/>
      <c r="AJE100" s="3"/>
      <c r="AJF100" s="3"/>
      <c r="AJG100" s="3"/>
      <c r="AJH100" s="3"/>
      <c r="AJI100" s="3"/>
      <c r="AJJ100" s="3"/>
      <c r="AJK100" s="3"/>
      <c r="AJL100" s="3"/>
      <c r="AJM100" s="3"/>
      <c r="AJN100" s="3"/>
      <c r="AJO100" s="3"/>
      <c r="AJP100" s="3"/>
      <c r="AJQ100" s="3"/>
      <c r="AJR100" s="3"/>
      <c r="AJS100" s="3"/>
      <c r="AJT100" s="3"/>
      <c r="AJU100" s="3"/>
      <c r="AJV100" s="3"/>
      <c r="AJW100" s="3"/>
      <c r="AJX100" s="3"/>
      <c r="AJY100" s="3"/>
      <c r="AJZ100" s="3"/>
      <c r="AKA100" s="3"/>
      <c r="AKB100" s="3"/>
      <c r="AKC100" s="3"/>
      <c r="AKD100" s="3"/>
      <c r="AKE100" s="3"/>
      <c r="AKF100" s="3"/>
      <c r="AKG100" s="3"/>
      <c r="AKH100" s="3"/>
      <c r="AKI100" s="3"/>
      <c r="AKJ100" s="3"/>
      <c r="AKK100" s="3"/>
      <c r="AKL100" s="3"/>
      <c r="AKM100" s="3"/>
      <c r="AKN100" s="3"/>
      <c r="AKO100" s="3"/>
      <c r="AKP100" s="3"/>
      <c r="AKQ100" s="3"/>
      <c r="AKR100" s="3"/>
      <c r="AKS100" s="3"/>
      <c r="AKT100" s="3"/>
      <c r="AKU100" s="3"/>
      <c r="AKV100" s="3"/>
      <c r="AKW100" s="3"/>
      <c r="AKX100" s="3"/>
      <c r="AKY100" s="3"/>
      <c r="AKZ100" s="3"/>
      <c r="ALA100" s="3"/>
      <c r="ALB100" s="3"/>
      <c r="ALC100" s="3"/>
      <c r="ALD100" s="3"/>
      <c r="ALE100" s="3"/>
      <c r="ALF100" s="3"/>
      <c r="ALG100" s="3"/>
      <c r="ALH100" s="3"/>
      <c r="ALI100" s="3"/>
      <c r="ALJ100" s="3"/>
      <c r="ALK100" s="3"/>
      <c r="ALL100" s="3"/>
      <c r="ALM100" s="3"/>
      <c r="ALN100" s="3"/>
      <c r="ALO100" s="3"/>
      <c r="ALP100" s="3"/>
      <c r="ALQ100" s="3"/>
      <c r="ALR100" s="3"/>
      <c r="ALS100" s="3"/>
      <c r="ALT100" s="3"/>
      <c r="ALU100" s="3"/>
      <c r="ALV100" s="3"/>
      <c r="ALW100" s="3"/>
      <c r="ALX100" s="3"/>
      <c r="ALY100" s="3"/>
      <c r="ALZ100" s="3"/>
      <c r="AMA100" s="3"/>
      <c r="AMB100" s="3"/>
      <c r="AMC100" s="3"/>
      <c r="AMD100" s="3"/>
      <c r="AME100" s="3"/>
      <c r="AMF100" s="3"/>
      <c r="AMG100" s="3"/>
      <c r="AMH100" s="3"/>
      <c r="AMI100" s="3"/>
      <c r="AMJ100" s="3"/>
      <c r="AMK100" s="3"/>
      <c r="AML100" s="3"/>
      <c r="AMM100" s="3"/>
      <c r="AMN100" s="3"/>
      <c r="AMO100" s="3"/>
      <c r="AMP100" s="3"/>
      <c r="AMQ100" s="3"/>
      <c r="AMR100" s="3"/>
      <c r="AMS100" s="3"/>
      <c r="AMT100" s="3"/>
      <c r="AMU100" s="3"/>
      <c r="AMV100" s="3"/>
      <c r="AMW100" s="3"/>
      <c r="AMX100" s="3"/>
      <c r="AMY100" s="3"/>
      <c r="AMZ100" s="3"/>
      <c r="ANA100" s="3"/>
      <c r="ANB100" s="3"/>
      <c r="ANC100" s="3"/>
      <c r="AND100" s="3"/>
      <c r="ANE100" s="3"/>
      <c r="ANF100" s="3"/>
      <c r="ANG100" s="3"/>
      <c r="ANH100" s="3"/>
      <c r="ANI100" s="3"/>
      <c r="ANJ100" s="3"/>
      <c r="ANK100" s="3"/>
      <c r="ANL100" s="3"/>
      <c r="ANM100" s="3"/>
      <c r="ANN100" s="3"/>
      <c r="ANO100" s="3"/>
      <c r="ANP100" s="3"/>
      <c r="ANQ100" s="3"/>
      <c r="ANR100" s="3"/>
      <c r="ANS100" s="3"/>
      <c r="ANT100" s="3"/>
      <c r="ANU100" s="3"/>
      <c r="ANV100" s="3"/>
      <c r="ANW100" s="3"/>
      <c r="ANX100" s="3"/>
      <c r="ANY100" s="3"/>
      <c r="ANZ100" s="3"/>
      <c r="AOA100" s="3"/>
      <c r="AOB100" s="3"/>
      <c r="AOC100" s="3"/>
      <c r="AOD100" s="3"/>
      <c r="AOE100" s="3"/>
      <c r="AOF100" s="3"/>
      <c r="AOG100" s="3"/>
      <c r="AOH100" s="3"/>
      <c r="AOI100" s="3"/>
      <c r="AOJ100" s="3"/>
      <c r="AOK100" s="3"/>
      <c r="AOL100" s="3"/>
      <c r="AOM100" s="3"/>
      <c r="AON100" s="3"/>
      <c r="AOO100" s="3"/>
      <c r="AOP100" s="3"/>
      <c r="AOQ100" s="3"/>
      <c r="AOR100" s="3"/>
      <c r="AOS100" s="3"/>
      <c r="AOT100" s="3"/>
      <c r="AOU100" s="3"/>
      <c r="AOV100" s="3"/>
      <c r="AOW100" s="3"/>
      <c r="AOX100" s="3"/>
      <c r="AOY100" s="3"/>
      <c r="AOZ100" s="3"/>
      <c r="APA100" s="3"/>
      <c r="APB100" s="3"/>
      <c r="APC100" s="3"/>
      <c r="APD100" s="3"/>
      <c r="APE100" s="3"/>
      <c r="APF100" s="3"/>
      <c r="APG100" s="3"/>
      <c r="APH100" s="3"/>
      <c r="API100" s="3"/>
      <c r="APJ100" s="3"/>
      <c r="APK100" s="3"/>
      <c r="APL100" s="3"/>
      <c r="APM100" s="3"/>
      <c r="APN100" s="3"/>
      <c r="APO100" s="3"/>
      <c r="APP100" s="3"/>
      <c r="APQ100" s="3"/>
      <c r="APR100" s="3"/>
      <c r="APS100" s="3"/>
      <c r="APT100" s="3"/>
      <c r="APU100" s="3"/>
      <c r="APV100" s="3"/>
      <c r="APW100" s="3"/>
      <c r="APX100" s="3"/>
      <c r="APY100" s="3"/>
      <c r="APZ100" s="3"/>
      <c r="AQA100" s="3"/>
      <c r="AQB100" s="3"/>
      <c r="AQC100" s="3"/>
      <c r="AQD100" s="3"/>
      <c r="AQE100" s="3"/>
      <c r="AQF100" s="3"/>
      <c r="AQG100" s="3"/>
      <c r="AQH100" s="3"/>
      <c r="AQI100" s="3"/>
      <c r="AQJ100" s="3"/>
      <c r="AQK100" s="3"/>
      <c r="AQL100" s="3"/>
      <c r="AQM100" s="3"/>
      <c r="AQN100" s="3"/>
      <c r="AQO100" s="3"/>
      <c r="AQP100" s="3"/>
      <c r="AQQ100" s="3"/>
      <c r="AQR100" s="3"/>
      <c r="AQS100" s="3"/>
      <c r="AQT100" s="3"/>
      <c r="AQU100" s="3"/>
      <c r="AQV100" s="3"/>
      <c r="AQW100" s="3"/>
      <c r="AQX100" s="3"/>
      <c r="AQY100" s="3"/>
      <c r="AQZ100" s="3"/>
      <c r="ARA100" s="3"/>
      <c r="ARB100" s="3"/>
      <c r="ARC100" s="3"/>
      <c r="ARD100" s="3"/>
      <c r="ARE100" s="3"/>
      <c r="ARF100" s="3"/>
      <c r="ARG100" s="3"/>
      <c r="ARH100" s="3"/>
      <c r="ARI100" s="3"/>
      <c r="ARJ100" s="3"/>
      <c r="ARK100" s="3"/>
      <c r="ARL100" s="3"/>
      <c r="ARM100" s="3"/>
      <c r="ARN100" s="3"/>
      <c r="ARO100" s="3"/>
      <c r="ARP100" s="3"/>
      <c r="ARQ100" s="3"/>
      <c r="ARR100" s="3"/>
      <c r="ARS100" s="3"/>
      <c r="ART100" s="3"/>
      <c r="ARU100" s="3"/>
      <c r="ARV100" s="3"/>
      <c r="ARW100" s="3"/>
      <c r="ARX100" s="3"/>
      <c r="ARY100" s="3"/>
      <c r="ARZ100" s="3"/>
      <c r="ASA100" s="3"/>
      <c r="ASB100" s="3"/>
      <c r="ASC100" s="3"/>
      <c r="ASD100" s="3"/>
      <c r="ASE100" s="3"/>
      <c r="ASF100" s="3"/>
      <c r="ASG100" s="3"/>
      <c r="ASH100" s="3"/>
      <c r="ASI100" s="3"/>
      <c r="ASJ100" s="3"/>
      <c r="ASK100" s="3"/>
      <c r="ASL100" s="3"/>
      <c r="ASM100" s="3"/>
      <c r="ASN100" s="3"/>
      <c r="ASO100" s="3"/>
      <c r="ASP100" s="3"/>
      <c r="ASQ100" s="3"/>
      <c r="ASR100" s="3"/>
      <c r="ASS100" s="3"/>
      <c r="AST100" s="3"/>
      <c r="ASU100" s="3"/>
      <c r="ASV100" s="3"/>
      <c r="ASW100" s="3"/>
      <c r="ASX100" s="3"/>
      <c r="ASY100" s="3"/>
      <c r="ASZ100" s="3"/>
      <c r="ATA100" s="3"/>
      <c r="ATB100" s="3"/>
      <c r="ATC100" s="3"/>
      <c r="ATD100" s="3"/>
      <c r="ATE100" s="3"/>
      <c r="ATF100" s="3"/>
      <c r="ATG100" s="3"/>
      <c r="ATH100" s="3"/>
      <c r="ATI100" s="3"/>
      <c r="ATJ100" s="3"/>
      <c r="ATK100" s="3"/>
      <c r="ATL100" s="3"/>
      <c r="ATM100" s="3"/>
      <c r="ATN100" s="3"/>
      <c r="ATO100" s="3"/>
      <c r="ATP100" s="3"/>
      <c r="ATQ100" s="3"/>
      <c r="ATR100" s="3"/>
      <c r="ATS100" s="3"/>
      <c r="ATT100" s="3"/>
      <c r="ATU100" s="3"/>
      <c r="ATV100" s="3"/>
      <c r="ATW100" s="3"/>
      <c r="ATX100" s="3"/>
      <c r="ATY100" s="3"/>
      <c r="ATZ100" s="3"/>
      <c r="AUA100" s="3"/>
      <c r="AUB100" s="3"/>
      <c r="AUC100" s="3"/>
      <c r="AUD100" s="3"/>
      <c r="AUE100" s="3"/>
      <c r="AUF100" s="3"/>
      <c r="AUG100" s="3"/>
      <c r="AUH100" s="3"/>
      <c r="AUI100" s="3"/>
      <c r="AUJ100" s="3"/>
      <c r="AUK100" s="3"/>
      <c r="AUL100" s="3"/>
      <c r="AUM100" s="3"/>
      <c r="AUN100" s="3"/>
      <c r="AUO100" s="3"/>
      <c r="AUP100" s="3"/>
      <c r="AUQ100" s="3"/>
      <c r="AUR100" s="3"/>
      <c r="AUS100" s="3"/>
      <c r="AUT100" s="3"/>
      <c r="AUU100" s="3"/>
      <c r="AUV100" s="3"/>
      <c r="AUW100" s="3"/>
      <c r="AUX100" s="3"/>
      <c r="AUY100" s="3"/>
      <c r="AUZ100" s="3"/>
      <c r="AVA100" s="3"/>
      <c r="AVB100" s="3"/>
      <c r="AVC100" s="3"/>
      <c r="AVD100" s="3"/>
      <c r="AVE100" s="3"/>
      <c r="AVF100" s="3"/>
      <c r="AVG100" s="3"/>
      <c r="AVH100" s="3"/>
      <c r="AVI100" s="3"/>
      <c r="AVJ100" s="3"/>
      <c r="AVK100" s="3"/>
      <c r="AVL100" s="3"/>
      <c r="AVM100" s="3"/>
      <c r="AVN100" s="3"/>
      <c r="AVO100" s="3"/>
      <c r="AVP100" s="3"/>
      <c r="AVQ100" s="3"/>
      <c r="AVR100" s="3"/>
      <c r="AVS100" s="3"/>
      <c r="AVT100" s="3"/>
      <c r="AVU100" s="3"/>
      <c r="AVV100" s="3"/>
      <c r="AVW100" s="3"/>
      <c r="AVX100" s="3"/>
      <c r="AVY100" s="3"/>
      <c r="AVZ100" s="3"/>
      <c r="AWA100" s="3"/>
      <c r="AWB100" s="3"/>
      <c r="AWC100" s="3"/>
      <c r="AWD100" s="3"/>
      <c r="AWE100" s="3"/>
      <c r="AWF100" s="3"/>
      <c r="AWG100" s="3"/>
      <c r="AWH100" s="3"/>
      <c r="AWI100" s="3"/>
      <c r="AWJ100" s="3"/>
      <c r="AWK100" s="3"/>
      <c r="AWL100" s="3"/>
      <c r="AWM100" s="3"/>
      <c r="AWN100" s="3"/>
      <c r="AWO100" s="3"/>
      <c r="AWP100" s="3"/>
      <c r="AWQ100" s="3"/>
      <c r="AWR100" s="3"/>
      <c r="AWS100" s="3"/>
      <c r="AWT100" s="3"/>
      <c r="AWU100" s="3"/>
      <c r="AWV100" s="3"/>
      <c r="AWW100" s="3"/>
      <c r="AWX100" s="3"/>
      <c r="AWY100" s="3"/>
      <c r="AWZ100" s="3"/>
      <c r="AXA100" s="3"/>
      <c r="AXB100" s="3"/>
      <c r="AXC100" s="3"/>
      <c r="AXD100" s="3"/>
      <c r="AXE100" s="3"/>
      <c r="AXF100" s="3"/>
      <c r="AXG100" s="3"/>
      <c r="AXH100" s="3"/>
      <c r="AXI100" s="3"/>
      <c r="AXJ100" s="3"/>
      <c r="AXK100" s="3"/>
      <c r="AXL100" s="3"/>
      <c r="AXM100" s="3"/>
      <c r="AXN100" s="3"/>
      <c r="AXO100" s="3"/>
      <c r="AXP100" s="3"/>
      <c r="AXQ100" s="3"/>
      <c r="AXR100" s="3"/>
      <c r="AXS100" s="3"/>
      <c r="AXT100" s="3"/>
      <c r="AXU100" s="3"/>
      <c r="AXV100" s="3"/>
      <c r="AXW100" s="3"/>
      <c r="AXX100" s="3"/>
      <c r="AXY100" s="3"/>
      <c r="AXZ100" s="3"/>
      <c r="AYA100" s="3"/>
      <c r="AYB100" s="3"/>
      <c r="AYC100" s="3"/>
      <c r="AYD100" s="3"/>
      <c r="AYE100" s="3"/>
      <c r="AYF100" s="3"/>
      <c r="AYG100" s="3"/>
      <c r="AYH100" s="3"/>
      <c r="AYI100" s="3"/>
      <c r="AYJ100" s="3"/>
      <c r="AYK100" s="3"/>
      <c r="AYL100" s="3"/>
      <c r="AYM100" s="3"/>
      <c r="AYN100" s="3"/>
      <c r="AYO100" s="3"/>
      <c r="AYP100" s="3"/>
      <c r="AYQ100" s="3"/>
      <c r="AYR100" s="3"/>
      <c r="AYS100" s="3"/>
      <c r="AYT100" s="3"/>
      <c r="AYU100" s="3"/>
      <c r="AYV100" s="3"/>
      <c r="AYW100" s="3"/>
      <c r="AYX100" s="3"/>
      <c r="AYY100" s="3"/>
      <c r="AYZ100" s="3"/>
      <c r="AZA100" s="3"/>
      <c r="AZB100" s="3"/>
      <c r="AZC100" s="3"/>
      <c r="AZD100" s="3"/>
      <c r="AZE100" s="3"/>
      <c r="AZF100" s="3"/>
      <c r="AZG100" s="3"/>
      <c r="AZH100" s="3"/>
      <c r="AZI100" s="3"/>
      <c r="AZJ100" s="3"/>
      <c r="AZK100" s="3"/>
      <c r="AZL100" s="3"/>
      <c r="AZM100" s="3"/>
      <c r="AZN100" s="3"/>
      <c r="AZO100" s="3"/>
      <c r="AZP100" s="3"/>
      <c r="AZQ100" s="3"/>
      <c r="AZR100" s="3"/>
      <c r="AZS100" s="3"/>
      <c r="AZT100" s="3"/>
      <c r="AZU100" s="3"/>
      <c r="AZV100" s="3"/>
      <c r="AZW100" s="3"/>
      <c r="AZX100" s="3"/>
      <c r="AZY100" s="3"/>
      <c r="AZZ100" s="3"/>
      <c r="BAA100" s="3"/>
      <c r="BAB100" s="3"/>
      <c r="BAC100" s="3"/>
      <c r="BAD100" s="3"/>
      <c r="BAE100" s="3"/>
      <c r="BAF100" s="3"/>
      <c r="BAG100" s="3"/>
      <c r="BAH100" s="3"/>
      <c r="BAI100" s="3"/>
      <c r="BAJ100" s="3"/>
      <c r="BAK100" s="3"/>
      <c r="BAL100" s="3"/>
      <c r="BAM100" s="3"/>
      <c r="BAN100" s="3"/>
      <c r="BAO100" s="3"/>
      <c r="BAP100" s="3"/>
      <c r="BAQ100" s="3"/>
      <c r="BAR100" s="3"/>
      <c r="BAS100" s="3"/>
      <c r="BAT100" s="3"/>
      <c r="BAU100" s="3"/>
      <c r="BAV100" s="3"/>
      <c r="BAW100" s="3"/>
      <c r="BAX100" s="3"/>
      <c r="BAY100" s="3"/>
      <c r="BAZ100" s="3"/>
      <c r="BBA100" s="3"/>
      <c r="BBB100" s="3"/>
      <c r="BBC100" s="3"/>
      <c r="BBD100" s="3"/>
      <c r="BBE100" s="3"/>
      <c r="BBF100" s="3"/>
      <c r="BBG100" s="3"/>
      <c r="BBH100" s="3"/>
      <c r="BBI100" s="3"/>
      <c r="BBJ100" s="3"/>
      <c r="BBK100" s="3"/>
      <c r="BBL100" s="3"/>
      <c r="BBM100" s="3"/>
      <c r="BBN100" s="3"/>
      <c r="BBO100" s="3"/>
      <c r="BBP100" s="3"/>
      <c r="BBQ100" s="3"/>
      <c r="BBR100" s="3"/>
      <c r="BBS100" s="3"/>
      <c r="BBT100" s="3"/>
      <c r="BBU100" s="3"/>
      <c r="BBV100" s="3"/>
      <c r="BBW100" s="3"/>
      <c r="BBX100" s="3"/>
      <c r="BBY100" s="3"/>
      <c r="BBZ100" s="3"/>
      <c r="BCA100" s="3"/>
      <c r="BCB100" s="3"/>
      <c r="BCC100" s="3"/>
      <c r="BCD100" s="3"/>
      <c r="BCE100" s="3"/>
      <c r="BCF100" s="3"/>
      <c r="BCG100" s="3"/>
      <c r="BCH100" s="3"/>
      <c r="BCI100" s="3"/>
      <c r="BCJ100" s="3"/>
      <c r="BCK100" s="3"/>
      <c r="BCL100" s="3"/>
      <c r="BCM100" s="3"/>
      <c r="BCN100" s="3"/>
      <c r="BCO100" s="3"/>
      <c r="BCP100" s="3"/>
      <c r="BCQ100" s="3"/>
      <c r="BCR100" s="3"/>
      <c r="BCS100" s="3"/>
      <c r="BCT100" s="3"/>
      <c r="BCU100" s="3"/>
      <c r="BCV100" s="3"/>
      <c r="BCW100" s="3"/>
      <c r="BCX100" s="3"/>
      <c r="BCY100" s="3"/>
      <c r="BCZ100" s="3"/>
      <c r="BDA100" s="3"/>
      <c r="BDB100" s="3"/>
      <c r="BDC100" s="3"/>
      <c r="BDD100" s="3"/>
      <c r="BDE100" s="3"/>
      <c r="BDF100" s="3"/>
      <c r="BDG100" s="3"/>
      <c r="BDH100" s="3"/>
      <c r="BDI100" s="3"/>
      <c r="BDJ100" s="3"/>
      <c r="BDK100" s="3"/>
      <c r="BDL100" s="3"/>
      <c r="BDM100" s="3"/>
      <c r="BDN100" s="3"/>
      <c r="BDO100" s="3"/>
      <c r="BDP100" s="3"/>
      <c r="BDQ100" s="3"/>
      <c r="BDR100" s="3"/>
      <c r="BDS100" s="3"/>
      <c r="BDT100" s="3"/>
      <c r="BDU100" s="3"/>
      <c r="BDV100" s="3"/>
      <c r="BDW100" s="3"/>
      <c r="BDX100" s="3"/>
      <c r="BDY100" s="3"/>
      <c r="BDZ100" s="3"/>
      <c r="BEA100" s="3"/>
      <c r="BEB100" s="3"/>
      <c r="BEC100" s="3"/>
      <c r="BED100" s="3"/>
      <c r="BEE100" s="3"/>
      <c r="BEF100" s="3"/>
      <c r="BEG100" s="3"/>
      <c r="BEH100" s="3"/>
      <c r="BEI100" s="3"/>
      <c r="BEJ100" s="3"/>
      <c r="BEK100" s="3"/>
      <c r="BEL100" s="3"/>
      <c r="BEM100" s="3"/>
      <c r="BEN100" s="3"/>
      <c r="BEO100" s="3"/>
      <c r="BEP100" s="3"/>
      <c r="BEQ100" s="3"/>
      <c r="BER100" s="3"/>
      <c r="BES100" s="3"/>
      <c r="BET100" s="3"/>
      <c r="BEU100" s="3"/>
      <c r="BEV100" s="3"/>
      <c r="BEW100" s="3"/>
      <c r="BEX100" s="3"/>
      <c r="BEY100" s="3"/>
      <c r="BEZ100" s="3"/>
      <c r="BFA100" s="3"/>
      <c r="BFB100" s="3"/>
      <c r="BFC100" s="3"/>
      <c r="BFD100" s="3"/>
      <c r="BFE100" s="3"/>
      <c r="BFF100" s="3"/>
      <c r="BFG100" s="3"/>
      <c r="BFH100" s="3"/>
      <c r="BFI100" s="3"/>
      <c r="BFJ100" s="3"/>
      <c r="BFK100" s="3"/>
      <c r="BFL100" s="3"/>
      <c r="BFM100" s="3"/>
      <c r="BFN100" s="3"/>
      <c r="BFO100" s="3"/>
      <c r="BFP100" s="3"/>
      <c r="BFQ100" s="3"/>
      <c r="BFR100" s="3"/>
      <c r="BFS100" s="3"/>
      <c r="BFT100" s="3"/>
      <c r="BFU100" s="3"/>
      <c r="BFV100" s="3"/>
      <c r="BFW100" s="3"/>
      <c r="BFX100" s="3"/>
      <c r="BFY100" s="3"/>
      <c r="BFZ100" s="3"/>
      <c r="BGA100" s="3"/>
      <c r="BGB100" s="3"/>
      <c r="BGC100" s="3"/>
      <c r="BGD100" s="3"/>
      <c r="BGE100" s="3"/>
      <c r="BGF100" s="3"/>
      <c r="BGG100" s="3"/>
      <c r="BGH100" s="3"/>
      <c r="BGI100" s="3"/>
      <c r="BGJ100" s="3"/>
      <c r="BGK100" s="3"/>
      <c r="BGL100" s="3"/>
      <c r="BGM100" s="3"/>
      <c r="BGN100" s="3"/>
      <c r="BGO100" s="3"/>
      <c r="BGP100" s="3"/>
      <c r="BGQ100" s="3"/>
      <c r="BGR100" s="3"/>
      <c r="BGS100" s="3"/>
      <c r="BGT100" s="3"/>
      <c r="BGU100" s="3"/>
      <c r="BGV100" s="3"/>
      <c r="BGW100" s="3"/>
      <c r="BGX100" s="3"/>
      <c r="BGY100" s="3"/>
      <c r="BGZ100" s="3"/>
      <c r="BHA100" s="3"/>
      <c r="BHB100" s="3"/>
      <c r="BHC100" s="3"/>
      <c r="BHD100" s="3"/>
      <c r="BHE100" s="3"/>
      <c r="BHF100" s="3"/>
      <c r="BHG100" s="3"/>
      <c r="BHH100" s="3"/>
      <c r="BHI100" s="3"/>
      <c r="BHJ100" s="3"/>
      <c r="BHK100" s="3"/>
      <c r="BHL100" s="3"/>
      <c r="BHM100" s="3"/>
      <c r="BHN100" s="3"/>
      <c r="BHO100" s="3"/>
      <c r="BHP100" s="3"/>
      <c r="BHQ100" s="3"/>
      <c r="BHR100" s="3"/>
      <c r="BHS100" s="3"/>
      <c r="BHT100" s="3"/>
      <c r="BHU100" s="3"/>
      <c r="BHV100" s="3"/>
      <c r="BHW100" s="3"/>
      <c r="BHX100" s="3"/>
      <c r="BHY100" s="3"/>
      <c r="BHZ100" s="3"/>
      <c r="BIA100" s="3"/>
      <c r="BIB100" s="3"/>
      <c r="BIC100" s="3"/>
      <c r="BID100" s="3"/>
      <c r="BIE100" s="3"/>
      <c r="BIF100" s="3"/>
      <c r="BIG100" s="3"/>
      <c r="BIH100" s="3"/>
      <c r="BII100" s="3"/>
      <c r="BIJ100" s="3"/>
      <c r="BIK100" s="3"/>
      <c r="BIL100" s="3"/>
      <c r="BIM100" s="3"/>
      <c r="BIN100" s="3"/>
      <c r="BIO100" s="3"/>
      <c r="BIP100" s="3"/>
      <c r="BIQ100" s="3"/>
      <c r="BIR100" s="3"/>
      <c r="BIS100" s="3"/>
      <c r="BIT100" s="3"/>
      <c r="BIU100" s="3"/>
      <c r="BIV100" s="3"/>
      <c r="BIW100" s="3"/>
      <c r="BIX100" s="3"/>
      <c r="BIY100" s="3"/>
      <c r="BIZ100" s="3"/>
      <c r="BJA100" s="3"/>
      <c r="BJB100" s="3"/>
      <c r="BJC100" s="3"/>
      <c r="BJD100" s="3"/>
      <c r="BJE100" s="3"/>
      <c r="BJF100" s="3"/>
      <c r="BJG100" s="3"/>
      <c r="BJH100" s="3"/>
      <c r="BJI100" s="3"/>
      <c r="BJJ100" s="3"/>
      <c r="BJK100" s="3"/>
      <c r="BJL100" s="3"/>
      <c r="BJM100" s="3"/>
      <c r="BJN100" s="3"/>
      <c r="BJO100" s="3"/>
      <c r="BJP100" s="3"/>
      <c r="BJQ100" s="3"/>
      <c r="BJR100" s="3"/>
      <c r="BJS100" s="3"/>
      <c r="BJT100" s="3"/>
      <c r="BJU100" s="3"/>
      <c r="BJV100" s="3"/>
      <c r="BJW100" s="3"/>
      <c r="BJX100" s="3"/>
      <c r="BJY100" s="3"/>
      <c r="BJZ100" s="3"/>
      <c r="BKA100" s="3"/>
      <c r="BKB100" s="3"/>
      <c r="BKC100" s="3"/>
      <c r="BKD100" s="3"/>
      <c r="BKE100" s="3"/>
      <c r="BKF100" s="3"/>
      <c r="BKG100" s="3"/>
      <c r="BKH100" s="3"/>
      <c r="BKI100" s="3"/>
      <c r="BKJ100" s="3"/>
      <c r="BKK100" s="3"/>
      <c r="BKL100" s="3"/>
      <c r="BKM100" s="3"/>
      <c r="BKN100" s="3"/>
      <c r="BKO100" s="3"/>
      <c r="BKP100" s="3"/>
      <c r="BKQ100" s="3"/>
      <c r="BKR100" s="3"/>
      <c r="BKS100" s="3"/>
      <c r="BKT100" s="3"/>
      <c r="BKU100" s="3"/>
      <c r="BKV100" s="3"/>
      <c r="BKW100" s="3"/>
      <c r="BKX100" s="3"/>
      <c r="BKY100" s="3"/>
      <c r="BKZ100" s="3"/>
      <c r="BLA100" s="3"/>
      <c r="BLB100" s="3"/>
      <c r="BLC100" s="3"/>
      <c r="BLD100" s="3"/>
      <c r="BLE100" s="3"/>
      <c r="BLF100" s="3"/>
      <c r="BLG100" s="3"/>
    </row>
    <row r="101" spans="1:1671" x14ac:dyDescent="0.25">
      <c r="A101" s="26" t="s">
        <v>129</v>
      </c>
      <c r="B101" s="27"/>
      <c r="C101" s="10">
        <f>AVERAGE(logistics!B22:K22)</f>
        <v>2.4691730000000003E-4</v>
      </c>
      <c r="D101" s="11">
        <f>AVERAGE(logistics!B51:K51)</f>
        <v>3.0929000000000002E-5</v>
      </c>
      <c r="E101" s="15">
        <f t="shared" si="2"/>
        <v>1.5547322386513693</v>
      </c>
      <c r="F101" s="15">
        <f t="shared" si="3"/>
        <v>6.9833586601571342</v>
      </c>
      <c r="G101" s="6" t="s">
        <v>33</v>
      </c>
      <c r="H101" s="18">
        <v>1.8026789017037725</v>
      </c>
      <c r="J101" s="6" t="s">
        <v>33</v>
      </c>
      <c r="K101" s="18">
        <v>18.271527143007372</v>
      </c>
    </row>
    <row r="102" spans="1:1671" x14ac:dyDescent="0.25">
      <c r="A102" s="26" t="s">
        <v>130</v>
      </c>
      <c r="B102" s="27"/>
      <c r="C102" s="10">
        <f>AVERAGE(logistics!B23:K23)</f>
        <v>4.1070480000000002E-4</v>
      </c>
      <c r="D102" s="11">
        <f>AVERAGE(logistics!B52:K52)</f>
        <v>3.3168100000000005E-5</v>
      </c>
      <c r="E102" s="15">
        <f t="shared" si="2"/>
        <v>1.7011027255775244</v>
      </c>
      <c r="F102" s="15">
        <f t="shared" si="3"/>
        <v>11.382524172322199</v>
      </c>
      <c r="G102" s="6" t="s">
        <v>134</v>
      </c>
      <c r="H102" s="18">
        <v>1.8077768511473731</v>
      </c>
      <c r="J102" s="6" t="s">
        <v>134</v>
      </c>
      <c r="K102" s="18">
        <v>18.80914824190457</v>
      </c>
    </row>
    <row r="103" spans="1:1671" x14ac:dyDescent="0.25">
      <c r="A103" s="26" t="s">
        <v>131</v>
      </c>
      <c r="B103" s="27"/>
      <c r="C103" s="10">
        <f>AVERAGE(logistics!B24:K24)</f>
        <v>2.2513200000000001E-4</v>
      </c>
      <c r="D103" s="11">
        <f>AVERAGE(logistics!B53:K53)</f>
        <v>2.8643099999999997E-5</v>
      </c>
      <c r="E103" s="15">
        <f t="shared" si="2"/>
        <v>1.5485278106480898</v>
      </c>
      <c r="F103" s="15">
        <f t="shared" si="3"/>
        <v>6.8599034322402268</v>
      </c>
      <c r="G103" s="6" t="s">
        <v>135</v>
      </c>
      <c r="H103" s="18">
        <v>1.8162340032772784</v>
      </c>
      <c r="J103" s="6" t="s">
        <v>135</v>
      </c>
      <c r="K103" s="18">
        <v>19.766812529716578</v>
      </c>
    </row>
    <row r="104" spans="1:1671" x14ac:dyDescent="0.25">
      <c r="A104" s="26" t="s">
        <v>132</v>
      </c>
      <c r="B104" s="27"/>
      <c r="C104" s="10">
        <f>AVERAGE(logistics!B25:K25)</f>
        <v>2.5013610000000001E-4</v>
      </c>
      <c r="D104" s="11">
        <f>AVERAGE(logistics!B54:K54)</f>
        <v>3.1301699999999999E-5</v>
      </c>
      <c r="E104" s="15">
        <f t="shared" si="2"/>
        <v>1.5551173296550784</v>
      </c>
      <c r="F104" s="15">
        <f t="shared" si="3"/>
        <v>6.9911346668072349</v>
      </c>
      <c r="G104" s="6" t="s">
        <v>34</v>
      </c>
      <c r="H104" s="18">
        <v>1.8185427736934052</v>
      </c>
      <c r="J104" s="6" t="s">
        <v>34</v>
      </c>
      <c r="K104" s="18">
        <v>20.043762496631004</v>
      </c>
    </row>
    <row r="105" spans="1:1671" x14ac:dyDescent="0.25">
      <c r="A105" s="26" t="s">
        <v>133</v>
      </c>
      <c r="B105" s="27"/>
      <c r="C105" s="10">
        <f>AVERAGE(logistics!B26:K26)</f>
        <v>2.5512790000000005E-4</v>
      </c>
      <c r="D105" s="11">
        <f>AVERAGE(logistics!B55:K55)</f>
        <v>1.9453099999999998E-5</v>
      </c>
      <c r="E105" s="15">
        <f t="shared" si="2"/>
        <v>1.7166140410297874</v>
      </c>
      <c r="F105" s="15">
        <f t="shared" si="3"/>
        <v>12.115025368707306</v>
      </c>
      <c r="G105" s="6" t="s">
        <v>78</v>
      </c>
      <c r="H105" s="18">
        <v>1.830700980804032</v>
      </c>
      <c r="J105" s="6" t="s">
        <v>78</v>
      </c>
      <c r="K105" s="18">
        <v>21.62683504604297</v>
      </c>
    </row>
    <row r="106" spans="1:1671" x14ac:dyDescent="0.25">
      <c r="A106" s="26" t="s">
        <v>134</v>
      </c>
      <c r="B106" s="27"/>
      <c r="C106" s="10">
        <f>AVERAGE(logistics!B27:K27)</f>
        <v>2.7075539999999999E-4</v>
      </c>
      <c r="D106" s="11">
        <f>AVERAGE(logistics!B56:K56)</f>
        <v>1.3668199999999997E-5</v>
      </c>
      <c r="E106" s="15">
        <f t="shared" si="2"/>
        <v>1.8077768511473731</v>
      </c>
      <c r="F106" s="15">
        <f t="shared" si="3"/>
        <v>18.80914824190457</v>
      </c>
      <c r="G106" s="6" t="s">
        <v>80</v>
      </c>
      <c r="H106" s="18">
        <v>1.936584659731007</v>
      </c>
      <c r="J106" s="6" t="s">
        <v>80</v>
      </c>
      <c r="K106" s="18">
        <v>61.076220722508928</v>
      </c>
    </row>
    <row r="107" spans="1:1671" x14ac:dyDescent="0.25">
      <c r="A107" s="28" t="s">
        <v>135</v>
      </c>
      <c r="B107" s="29"/>
      <c r="C107" s="12">
        <f>AVERAGE(logistics!B28:K28)</f>
        <v>2.5769330000000002E-4</v>
      </c>
      <c r="D107" s="13">
        <f>AVERAGE(logistics!B57:K57)</f>
        <v>1.2408899999999999E-5</v>
      </c>
      <c r="E107" s="16">
        <f t="shared" si="2"/>
        <v>1.8162340032772784</v>
      </c>
      <c r="F107" s="16">
        <f t="shared" si="3"/>
        <v>19.766812529716578</v>
      </c>
      <c r="G107" s="1" t="s">
        <v>51</v>
      </c>
      <c r="H107" s="19">
        <v>1.964293555430719</v>
      </c>
      <c r="J107" s="1" t="s">
        <v>51</v>
      </c>
      <c r="K107" s="19">
        <v>110.02459523066891</v>
      </c>
    </row>
  </sheetData>
  <sortState ref="J3:K107">
    <sortCondition ref="K3:K107"/>
  </sortState>
  <mergeCells count="110">
    <mergeCell ref="J1:K2"/>
    <mergeCell ref="F1:F2"/>
    <mergeCell ref="A8:B8"/>
    <mergeCell ref="A9:B9"/>
    <mergeCell ref="A10:B10"/>
    <mergeCell ref="A11:B11"/>
    <mergeCell ref="A12:B12"/>
    <mergeCell ref="A13:B13"/>
    <mergeCell ref="C1:D1"/>
    <mergeCell ref="A3:B3"/>
    <mergeCell ref="A4:B4"/>
    <mergeCell ref="A5:B5"/>
    <mergeCell ref="A6:B6"/>
    <mergeCell ref="A7:B7"/>
    <mergeCell ref="A20:B20"/>
    <mergeCell ref="A21:B21"/>
    <mergeCell ref="A22:B22"/>
    <mergeCell ref="A23:B23"/>
    <mergeCell ref="A24:B24"/>
    <mergeCell ref="A25:B25"/>
    <mergeCell ref="A14:B14"/>
    <mergeCell ref="A15:B15"/>
    <mergeCell ref="A16:B16"/>
    <mergeCell ref="A17:B17"/>
    <mergeCell ref="A18:B18"/>
    <mergeCell ref="A19:B19"/>
    <mergeCell ref="A32:B32"/>
    <mergeCell ref="A33:B33"/>
    <mergeCell ref="A34:B34"/>
    <mergeCell ref="A35:B35"/>
    <mergeCell ref="A36:B36"/>
    <mergeCell ref="A37:B37"/>
    <mergeCell ref="A26:B26"/>
    <mergeCell ref="A27:B27"/>
    <mergeCell ref="A28:B28"/>
    <mergeCell ref="A29:B29"/>
    <mergeCell ref="A30:B30"/>
    <mergeCell ref="A31:B31"/>
    <mergeCell ref="A44:B44"/>
    <mergeCell ref="A45:B45"/>
    <mergeCell ref="A46:B46"/>
    <mergeCell ref="A47:B47"/>
    <mergeCell ref="A48:B48"/>
    <mergeCell ref="A49:B49"/>
    <mergeCell ref="A38:B38"/>
    <mergeCell ref="A39:B39"/>
    <mergeCell ref="A40:B40"/>
    <mergeCell ref="A41:B41"/>
    <mergeCell ref="A42:B42"/>
    <mergeCell ref="A43:B43"/>
    <mergeCell ref="A56:B56"/>
    <mergeCell ref="A57:B57"/>
    <mergeCell ref="A58:B58"/>
    <mergeCell ref="A59:B59"/>
    <mergeCell ref="A60:B60"/>
    <mergeCell ref="A61:B61"/>
    <mergeCell ref="A50:B50"/>
    <mergeCell ref="A51:B51"/>
    <mergeCell ref="A52:B52"/>
    <mergeCell ref="A53:B53"/>
    <mergeCell ref="A54:B54"/>
    <mergeCell ref="A55:B55"/>
    <mergeCell ref="A68:B68"/>
    <mergeCell ref="A69:B69"/>
    <mergeCell ref="A70:B70"/>
    <mergeCell ref="A71:B71"/>
    <mergeCell ref="A72:B72"/>
    <mergeCell ref="A73:B73"/>
    <mergeCell ref="A62:B62"/>
    <mergeCell ref="A63:B63"/>
    <mergeCell ref="A64:B64"/>
    <mergeCell ref="A65:B65"/>
    <mergeCell ref="A66:B66"/>
    <mergeCell ref="A67:B67"/>
    <mergeCell ref="A80:B80"/>
    <mergeCell ref="A81:B81"/>
    <mergeCell ref="A82:B82"/>
    <mergeCell ref="A83:B83"/>
    <mergeCell ref="A84:B84"/>
    <mergeCell ref="A85:B85"/>
    <mergeCell ref="A74:B74"/>
    <mergeCell ref="A75:B75"/>
    <mergeCell ref="A76:B76"/>
    <mergeCell ref="A77:B77"/>
    <mergeCell ref="A78:B78"/>
    <mergeCell ref="A79:B79"/>
    <mergeCell ref="E1:E2"/>
    <mergeCell ref="G1:H2"/>
    <mergeCell ref="A104:B104"/>
    <mergeCell ref="A105:B105"/>
    <mergeCell ref="A106:B106"/>
    <mergeCell ref="A107:B107"/>
    <mergeCell ref="A98:B98"/>
    <mergeCell ref="A99:B99"/>
    <mergeCell ref="A100:B100"/>
    <mergeCell ref="A101:B101"/>
    <mergeCell ref="A102:B102"/>
    <mergeCell ref="A103:B103"/>
    <mergeCell ref="A92:B92"/>
    <mergeCell ref="A93:B93"/>
    <mergeCell ref="A94:B94"/>
    <mergeCell ref="A95:B95"/>
    <mergeCell ref="A96:B96"/>
    <mergeCell ref="A97:B97"/>
    <mergeCell ref="A86:B86"/>
    <mergeCell ref="A87:B87"/>
    <mergeCell ref="A88:B88"/>
    <mergeCell ref="A89:B89"/>
    <mergeCell ref="A90:B90"/>
    <mergeCell ref="A91:B9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1"/>
  <sheetViews>
    <sheetView topLeftCell="A27" workbookViewId="0"/>
  </sheetViews>
  <sheetFormatPr defaultRowHeight="15" x14ac:dyDescent="0.25"/>
  <cols>
    <col min="1" max="1" width="8.5703125" bestFit="1" customWidth="1"/>
    <col min="2" max="2" width="12" bestFit="1" customWidth="1"/>
    <col min="3" max="11" width="8.28515625" bestFit="1" customWidth="1"/>
  </cols>
  <sheetData>
    <row r="1" spans="1:11" x14ac:dyDescent="0.25">
      <c r="A1" t="s">
        <v>3</v>
      </c>
      <c r="B1">
        <v>7.618845E-3</v>
      </c>
      <c r="C1" s="3">
        <v>3.4380899999999999E-4</v>
      </c>
      <c r="D1" s="3">
        <v>3.04157E-4</v>
      </c>
      <c r="E1" s="3">
        <v>3.1908400000000002E-4</v>
      </c>
      <c r="F1" s="3">
        <v>3.53605E-4</v>
      </c>
      <c r="G1" s="3">
        <v>3.03224E-4</v>
      </c>
      <c r="H1" s="3">
        <v>3.2468200000000002E-4</v>
      </c>
      <c r="I1" s="3">
        <v>4.27312E-4</v>
      </c>
      <c r="J1" s="3">
        <v>2.9389299999999999E-4</v>
      </c>
      <c r="K1" s="3">
        <v>2.3231599999999999E-4</v>
      </c>
    </row>
    <row r="2" spans="1:11" x14ac:dyDescent="0.25">
      <c r="A2" t="s">
        <v>4</v>
      </c>
      <c r="B2" s="3">
        <v>4.3477700000000002E-4</v>
      </c>
      <c r="C2" s="3">
        <v>2.5051000000000001E-4</v>
      </c>
      <c r="D2" s="3">
        <v>2.5657399999999997E-4</v>
      </c>
      <c r="E2" s="3">
        <v>2.5610699999999999E-4</v>
      </c>
      <c r="F2" s="3">
        <v>3.7039899999999999E-4</v>
      </c>
      <c r="G2" s="3">
        <v>2.7989900000000001E-4</v>
      </c>
      <c r="H2" s="3">
        <v>2.5657399999999997E-4</v>
      </c>
      <c r="I2" s="3">
        <v>2.4304599999999999E-4</v>
      </c>
      <c r="J2" s="3">
        <v>2.6310500000000002E-4</v>
      </c>
      <c r="K2" s="3">
        <v>2.0479299999999999E-4</v>
      </c>
    </row>
    <row r="3" spans="1:11" x14ac:dyDescent="0.25">
      <c r="A3" t="s">
        <v>5</v>
      </c>
      <c r="B3" s="3">
        <v>2.6217100000000001E-4</v>
      </c>
      <c r="C3" s="3">
        <v>2.92028E-4</v>
      </c>
      <c r="D3" s="3">
        <v>2.6450399999999999E-4</v>
      </c>
      <c r="E3" s="3">
        <v>1.8659899999999999E-4</v>
      </c>
      <c r="F3" s="3">
        <v>2.3324899999999999E-4</v>
      </c>
      <c r="G3" s="3">
        <v>1.9126399999999999E-4</v>
      </c>
      <c r="H3" s="3">
        <v>2.0292699999999999E-4</v>
      </c>
      <c r="I3" s="3">
        <v>1.7960200000000001E-4</v>
      </c>
      <c r="J3" s="3">
        <v>2.7849899999999998E-4</v>
      </c>
      <c r="K3" s="3">
        <v>2.9156100000000002E-4</v>
      </c>
    </row>
    <row r="4" spans="1:11" x14ac:dyDescent="0.25">
      <c r="A4" t="s">
        <v>6</v>
      </c>
      <c r="B4" s="3">
        <v>4.5763500000000002E-4</v>
      </c>
      <c r="C4" s="3">
        <v>4.0118800000000002E-4</v>
      </c>
      <c r="D4" s="3">
        <v>3.5966999999999998E-4</v>
      </c>
      <c r="E4" s="3">
        <v>3.6993200000000001E-4</v>
      </c>
      <c r="F4" s="3">
        <v>3.0089100000000002E-4</v>
      </c>
      <c r="G4" s="3">
        <v>3.1395300000000001E-4</v>
      </c>
      <c r="H4" s="3">
        <v>2.99492E-4</v>
      </c>
      <c r="I4" s="3">
        <v>2.9295999999999999E-4</v>
      </c>
      <c r="J4" s="3">
        <v>2.6870300000000002E-4</v>
      </c>
      <c r="K4" s="3">
        <v>2.92961E-4</v>
      </c>
    </row>
    <row r="5" spans="1:11" x14ac:dyDescent="0.25">
      <c r="A5" t="s">
        <v>7</v>
      </c>
      <c r="B5" s="3">
        <v>3.9372499999999999E-4</v>
      </c>
      <c r="C5" s="3">
        <v>3.3821099999999999E-4</v>
      </c>
      <c r="D5" s="3">
        <v>1.8613200000000001E-4</v>
      </c>
      <c r="E5" s="3">
        <v>2.1412300000000001E-4</v>
      </c>
      <c r="F5" s="3">
        <v>1.82867E-4</v>
      </c>
      <c r="G5" s="3">
        <v>2.3464800000000001E-4</v>
      </c>
      <c r="H5" s="3">
        <v>1.4741299999999999E-4</v>
      </c>
      <c r="I5" s="3">
        <v>2.0199399999999999E-4</v>
      </c>
      <c r="J5" s="3">
        <v>1.5441000000000001E-4</v>
      </c>
      <c r="K5" s="3">
        <v>1.6094199999999999E-4</v>
      </c>
    </row>
    <row r="6" spans="1:11" x14ac:dyDescent="0.25">
      <c r="A6" t="s">
        <v>8</v>
      </c>
      <c r="B6" s="3">
        <v>2.1319000000000001E-4</v>
      </c>
      <c r="C6" s="3">
        <v>3.8346099999999998E-4</v>
      </c>
      <c r="D6" s="3">
        <v>2.0712500000000001E-4</v>
      </c>
      <c r="E6" s="3">
        <v>2.19254E-4</v>
      </c>
      <c r="F6" s="3">
        <v>1.5907599999999999E-4</v>
      </c>
      <c r="G6" s="3">
        <v>1.7586899999999999E-4</v>
      </c>
      <c r="H6" s="3">
        <v>1.36217E-4</v>
      </c>
      <c r="I6" s="3">
        <v>1.68405E-4</v>
      </c>
      <c r="J6" s="3">
        <v>4.0865200000000002E-4</v>
      </c>
      <c r="K6" s="3">
        <v>1.6420700000000001E-4</v>
      </c>
    </row>
    <row r="7" spans="1:11" x14ac:dyDescent="0.25">
      <c r="A7" t="s">
        <v>9</v>
      </c>
      <c r="B7" s="3">
        <v>2.4351200000000001E-4</v>
      </c>
      <c r="C7" s="3">
        <v>1.2268899999999999E-4</v>
      </c>
      <c r="D7" s="3">
        <v>1.2548799999999999E-4</v>
      </c>
      <c r="E7" s="3">
        <v>1.42748E-4</v>
      </c>
      <c r="F7" s="3">
        <v>1.34351E-4</v>
      </c>
      <c r="G7" s="3">
        <v>1.11493E-4</v>
      </c>
      <c r="H7" s="3">
        <v>1.4041600000000001E-4</v>
      </c>
      <c r="I7" s="3">
        <v>1.2408800000000001E-4</v>
      </c>
      <c r="J7" s="3">
        <v>1.09627E-4</v>
      </c>
      <c r="K7" s="3">
        <v>1.04962E-4</v>
      </c>
    </row>
    <row r="8" spans="1:11" x14ac:dyDescent="0.25">
      <c r="A8" t="s">
        <v>10</v>
      </c>
      <c r="B8" s="3">
        <v>1.1196000000000001E-4</v>
      </c>
      <c r="C8" s="3">
        <v>9.7497999999999994E-5</v>
      </c>
      <c r="D8" s="3">
        <v>9.3765999999999996E-5</v>
      </c>
      <c r="E8" s="3">
        <v>1.01697E-4</v>
      </c>
      <c r="F8" s="3">
        <v>1.2642099999999999E-4</v>
      </c>
      <c r="G8" s="3">
        <v>1.8053500000000001E-4</v>
      </c>
      <c r="H8" s="3">
        <v>1.26888E-4</v>
      </c>
      <c r="I8" s="3">
        <v>9.5631999999999995E-5</v>
      </c>
      <c r="J8" s="3">
        <v>1.04962E-4</v>
      </c>
      <c r="K8" s="3">
        <v>1.15692E-4</v>
      </c>
    </row>
    <row r="9" spans="1:11" x14ac:dyDescent="0.25">
      <c r="A9" t="s">
        <v>11</v>
      </c>
      <c r="B9" s="3">
        <v>2.0899100000000001E-4</v>
      </c>
      <c r="C9" s="3">
        <v>1.6094199999999999E-4</v>
      </c>
      <c r="D9" s="3">
        <v>1.53945E-4</v>
      </c>
      <c r="E9" s="3">
        <v>1.6327400000000001E-4</v>
      </c>
      <c r="F9" s="3">
        <v>1.5067800000000001E-4</v>
      </c>
      <c r="G9" s="3">
        <v>1.4648100000000001E-4</v>
      </c>
      <c r="H9" s="3">
        <v>1.46014E-4</v>
      </c>
      <c r="I9" s="3">
        <v>2.0992499999999999E-4</v>
      </c>
      <c r="J9" s="3">
        <v>1.72604E-4</v>
      </c>
      <c r="K9" s="3">
        <v>2.5237600000000001E-4</v>
      </c>
    </row>
    <row r="10" spans="1:11" x14ac:dyDescent="0.25">
      <c r="A10" t="s">
        <v>12</v>
      </c>
      <c r="B10" s="3">
        <v>2.3324899999999999E-4</v>
      </c>
      <c r="C10" s="3">
        <v>1.3481800000000001E-4</v>
      </c>
      <c r="D10" s="3">
        <v>1.44148E-4</v>
      </c>
      <c r="E10" s="3">
        <v>1.4554699999999999E-4</v>
      </c>
      <c r="F10" s="3">
        <v>1.0822700000000001E-4</v>
      </c>
      <c r="G10" s="3">
        <v>1.06828E-4</v>
      </c>
      <c r="H10" s="3">
        <v>1.11493E-4</v>
      </c>
      <c r="I10" s="3">
        <v>1.09627E-4</v>
      </c>
      <c r="J10" s="3">
        <v>1.2222200000000001E-4</v>
      </c>
      <c r="K10" s="3">
        <v>1.18491E-4</v>
      </c>
    </row>
    <row r="11" spans="1:11" x14ac:dyDescent="0.25">
      <c r="A11" t="s">
        <v>13</v>
      </c>
      <c r="B11" s="3">
        <v>2.4724399999999998E-4</v>
      </c>
      <c r="C11" s="3">
        <v>1.4554699999999999E-4</v>
      </c>
      <c r="D11" s="3">
        <v>1.5627699999999999E-4</v>
      </c>
      <c r="E11" s="3">
        <v>1.53478E-4</v>
      </c>
      <c r="F11" s="3">
        <v>1.5580999999999999E-4</v>
      </c>
      <c r="G11" s="3">
        <v>2.3744700000000001E-4</v>
      </c>
      <c r="H11" s="3">
        <v>2.45844E-4</v>
      </c>
      <c r="I11" s="3">
        <v>2.3744700000000001E-4</v>
      </c>
      <c r="J11" s="3">
        <v>2.3091600000000001E-4</v>
      </c>
      <c r="K11" s="3">
        <v>2.1552299999999999E-4</v>
      </c>
    </row>
    <row r="12" spans="1:11" x14ac:dyDescent="0.25">
      <c r="A12" t="s">
        <v>14</v>
      </c>
      <c r="B12" s="3">
        <v>1.6467399999999999E-4</v>
      </c>
      <c r="C12" s="3">
        <v>1.12426E-4</v>
      </c>
      <c r="D12" s="3">
        <v>1.1849E-4</v>
      </c>
      <c r="E12" s="3">
        <v>1.0729400000000001E-4</v>
      </c>
      <c r="F12" s="3">
        <v>1.1802399999999999E-4</v>
      </c>
      <c r="G12" s="3">
        <v>1.04962E-4</v>
      </c>
      <c r="H12" s="3">
        <v>9.8431000000000007E-5</v>
      </c>
      <c r="I12" s="3">
        <v>1.04962E-4</v>
      </c>
      <c r="J12" s="3">
        <v>1.17557E-4</v>
      </c>
      <c r="K12" s="3">
        <v>1.2408800000000001E-4</v>
      </c>
    </row>
    <row r="13" spans="1:11" x14ac:dyDescent="0.25">
      <c r="A13" t="s">
        <v>15</v>
      </c>
      <c r="B13" s="3">
        <v>2.0059400000000001E-4</v>
      </c>
      <c r="C13" s="3">
        <v>9.4232000000000002E-5</v>
      </c>
      <c r="D13" s="3">
        <v>1.20357E-4</v>
      </c>
      <c r="E13" s="3">
        <v>9.4232000000000002E-5</v>
      </c>
      <c r="F13" s="3">
        <v>9.6099000000000003E-5</v>
      </c>
      <c r="G13" s="3">
        <v>1.76336E-4</v>
      </c>
      <c r="H13" s="3">
        <v>1.55344E-4</v>
      </c>
      <c r="I13" s="3">
        <v>1.2222200000000001E-4</v>
      </c>
      <c r="J13" s="3">
        <v>1.2315500000000001E-4</v>
      </c>
      <c r="K13" s="3">
        <v>1.1009400000000001E-4</v>
      </c>
    </row>
    <row r="14" spans="1:11" x14ac:dyDescent="0.25">
      <c r="A14" t="s">
        <v>16</v>
      </c>
      <c r="B14" s="3">
        <v>2.03859E-4</v>
      </c>
      <c r="C14" s="3">
        <v>1.87066E-4</v>
      </c>
      <c r="D14" s="3">
        <v>1.83334E-4</v>
      </c>
      <c r="E14" s="3">
        <v>1.9686200000000001E-4</v>
      </c>
      <c r="F14" s="3">
        <v>2.4351200000000001E-4</v>
      </c>
      <c r="G14" s="3">
        <v>1.9686200000000001E-4</v>
      </c>
      <c r="H14" s="3">
        <v>1.9359600000000001E-4</v>
      </c>
      <c r="I14" s="3">
        <v>2.18321E-4</v>
      </c>
      <c r="J14" s="3">
        <v>3.0835599999999997E-4</v>
      </c>
      <c r="K14" s="3">
        <v>1.25955E-4</v>
      </c>
    </row>
    <row r="15" spans="1:11" x14ac:dyDescent="0.25">
      <c r="A15" t="s">
        <v>17</v>
      </c>
      <c r="B15" s="3">
        <v>1.12893E-4</v>
      </c>
      <c r="C15" s="3">
        <v>1.0822799999999999E-4</v>
      </c>
      <c r="D15" s="3">
        <v>9.7965000000000001E-5</v>
      </c>
      <c r="E15" s="3">
        <v>1.1615799999999999E-4</v>
      </c>
      <c r="F15" s="3">
        <v>1.2642099999999999E-4</v>
      </c>
      <c r="G15" s="3">
        <v>1.02163E-4</v>
      </c>
      <c r="H15" s="3">
        <v>9.2366000000000003E-5</v>
      </c>
      <c r="I15" s="3">
        <v>8.8634000000000006E-5</v>
      </c>
      <c r="J15" s="3">
        <v>8.9567999999999994E-5</v>
      </c>
      <c r="K15" s="3">
        <v>7.8370999999999999E-5</v>
      </c>
    </row>
    <row r="16" spans="1:11" x14ac:dyDescent="0.25">
      <c r="A16" t="s">
        <v>18</v>
      </c>
      <c r="B16" s="3">
        <v>1.9312999999999999E-4</v>
      </c>
      <c r="C16" s="3">
        <v>1.2922000000000001E-4</v>
      </c>
      <c r="D16" s="3">
        <v>1.2082300000000001E-4</v>
      </c>
      <c r="E16" s="3">
        <v>1.15692E-4</v>
      </c>
      <c r="F16" s="3">
        <v>1.33418E-4</v>
      </c>
      <c r="G16" s="3">
        <v>1.3855000000000001E-4</v>
      </c>
      <c r="H16" s="3">
        <v>1.2315500000000001E-4</v>
      </c>
      <c r="I16" s="3">
        <v>1.7447E-4</v>
      </c>
      <c r="J16" s="3">
        <v>1.2782000000000001E-4</v>
      </c>
      <c r="K16" s="3">
        <v>1.12892E-4</v>
      </c>
    </row>
    <row r="17" spans="1:11" x14ac:dyDescent="0.25">
      <c r="A17" t="s">
        <v>19</v>
      </c>
      <c r="B17" s="3">
        <v>1.6187499999999999E-4</v>
      </c>
      <c r="C17" s="3">
        <v>1.3295200000000001E-4</v>
      </c>
      <c r="D17" s="3">
        <v>1.3108600000000001E-4</v>
      </c>
      <c r="E17" s="3">
        <v>1.17558E-4</v>
      </c>
      <c r="F17" s="3">
        <v>1.12893E-4</v>
      </c>
      <c r="G17" s="3">
        <v>1.2642099999999999E-4</v>
      </c>
      <c r="H17" s="3">
        <v>1.5207799999999999E-4</v>
      </c>
      <c r="I17" s="3">
        <v>1.3015300000000001E-4</v>
      </c>
      <c r="J17" s="3">
        <v>1.3201900000000001E-4</v>
      </c>
      <c r="K17" s="3">
        <v>1.4834599999999999E-4</v>
      </c>
    </row>
    <row r="18" spans="1:11" x14ac:dyDescent="0.25">
      <c r="A18" t="s">
        <v>20</v>
      </c>
      <c r="B18" s="3">
        <v>1.3715E-4</v>
      </c>
      <c r="C18" s="3">
        <v>1.2362199999999999E-4</v>
      </c>
      <c r="D18" s="3">
        <v>1.07761E-4</v>
      </c>
      <c r="E18" s="3">
        <v>1.2455499999999999E-4</v>
      </c>
      <c r="F18" s="3">
        <v>1.5860900000000001E-4</v>
      </c>
      <c r="G18" s="3">
        <v>1.5674299999999999E-4</v>
      </c>
      <c r="H18" s="3">
        <v>2.05725E-4</v>
      </c>
      <c r="I18" s="3">
        <v>1.4368200000000001E-4</v>
      </c>
      <c r="J18" s="3">
        <v>1.7960099999999999E-4</v>
      </c>
      <c r="K18" s="3">
        <v>1.0729400000000001E-4</v>
      </c>
    </row>
    <row r="19" spans="1:11" x14ac:dyDescent="0.25">
      <c r="A19" t="s">
        <v>21</v>
      </c>
      <c r="B19" s="3">
        <v>2.0106099999999999E-4</v>
      </c>
      <c r="C19" s="3">
        <v>1.9639599999999999E-4</v>
      </c>
      <c r="D19" s="3">
        <v>2.1878800000000001E-4</v>
      </c>
      <c r="E19" s="3">
        <v>2.09924E-4</v>
      </c>
      <c r="F19" s="3">
        <v>1.5301099999999999E-4</v>
      </c>
      <c r="G19" s="3">
        <v>1.4788E-4</v>
      </c>
      <c r="H19" s="3">
        <v>1.8799800000000001E-4</v>
      </c>
      <c r="I19" s="3">
        <v>1.9826199999999999E-4</v>
      </c>
      <c r="J19" s="3">
        <v>1.72604E-4</v>
      </c>
      <c r="K19" s="3">
        <v>1.6140800000000001E-4</v>
      </c>
    </row>
    <row r="20" spans="1:11" x14ac:dyDescent="0.25">
      <c r="A20" t="s">
        <v>22</v>
      </c>
      <c r="B20" s="3">
        <v>2.25319E-4</v>
      </c>
      <c r="C20" s="3">
        <v>1.55344E-4</v>
      </c>
      <c r="D20" s="3">
        <v>1.42748E-4</v>
      </c>
      <c r="E20" s="3">
        <v>1.3435199999999999E-4</v>
      </c>
      <c r="F20" s="3">
        <v>1.3248599999999999E-4</v>
      </c>
      <c r="G20" s="3">
        <v>1.38083E-4</v>
      </c>
      <c r="H20" s="3">
        <v>1.42282E-4</v>
      </c>
      <c r="I20" s="3">
        <v>1.41349E-4</v>
      </c>
      <c r="J20" s="3">
        <v>1.5907599999999999E-4</v>
      </c>
      <c r="K20" s="3">
        <v>1.42748E-4</v>
      </c>
    </row>
    <row r="21" spans="1:11" x14ac:dyDescent="0.25">
      <c r="A21" t="s">
        <v>23</v>
      </c>
      <c r="B21">
        <v>1.8592277000000001E-2</v>
      </c>
      <c r="C21" s="3">
        <v>1.2782099999999999E-4</v>
      </c>
      <c r="D21" s="3">
        <v>1.1009400000000001E-4</v>
      </c>
      <c r="E21" s="3">
        <v>1.07761E-4</v>
      </c>
      <c r="F21" s="3">
        <v>1.04029E-4</v>
      </c>
      <c r="G21" s="3">
        <v>9.9364000000000006E-5</v>
      </c>
      <c r="H21" s="3">
        <v>1.0029700000000001E-4</v>
      </c>
      <c r="I21" s="3">
        <v>1.15225E-4</v>
      </c>
      <c r="J21" s="3">
        <v>1.1196000000000001E-4</v>
      </c>
      <c r="K21" s="3">
        <v>1.08694E-4</v>
      </c>
    </row>
    <row r="22" spans="1:11" x14ac:dyDescent="0.25">
      <c r="A22" t="s">
        <v>24</v>
      </c>
      <c r="B22" s="3">
        <v>2.0385999999999999E-4</v>
      </c>
      <c r="C22" s="3">
        <v>1.6000899999999999E-4</v>
      </c>
      <c r="D22" s="3">
        <v>1.50679E-4</v>
      </c>
      <c r="E22" s="3">
        <v>1.2875300000000001E-4</v>
      </c>
      <c r="F22" s="3">
        <v>1.03563E-4</v>
      </c>
      <c r="G22" s="3">
        <v>9.8431000000000007E-5</v>
      </c>
      <c r="H22" s="3">
        <v>1.5207799999999999E-4</v>
      </c>
      <c r="I22" s="3">
        <v>1.02629E-4</v>
      </c>
      <c r="J22" s="3">
        <v>9.4233000000000004E-5</v>
      </c>
      <c r="K22" s="3">
        <v>1.78202E-4</v>
      </c>
    </row>
    <row r="23" spans="1:11" x14ac:dyDescent="0.25">
      <c r="A23" t="s">
        <v>25</v>
      </c>
      <c r="B23" s="3">
        <v>2.26252E-4</v>
      </c>
      <c r="C23" s="3">
        <v>2.3138299999999999E-4</v>
      </c>
      <c r="D23" s="3">
        <v>2.0385999999999999E-4</v>
      </c>
      <c r="E23" s="3">
        <v>1.90798E-4</v>
      </c>
      <c r="F23" s="3">
        <v>1.9826199999999999E-4</v>
      </c>
      <c r="G23" s="3">
        <v>1.2922000000000001E-4</v>
      </c>
      <c r="H23" s="3">
        <v>1.4041499999999999E-4</v>
      </c>
      <c r="I23" s="3">
        <v>1.3388500000000001E-4</v>
      </c>
      <c r="J23" s="3">
        <v>1.3388500000000001E-4</v>
      </c>
      <c r="K23" s="3">
        <v>1.2548799999999999E-4</v>
      </c>
    </row>
    <row r="24" spans="1:11" x14ac:dyDescent="0.25">
      <c r="A24" t="s">
        <v>26</v>
      </c>
      <c r="B24" s="3">
        <v>1.8846499999999999E-4</v>
      </c>
      <c r="C24" s="3">
        <v>1.83334E-4</v>
      </c>
      <c r="D24" s="3">
        <v>1.8053500000000001E-4</v>
      </c>
      <c r="E24" s="3">
        <v>1.6700600000000001E-4</v>
      </c>
      <c r="F24" s="3">
        <v>1.6793900000000001E-4</v>
      </c>
      <c r="G24" s="3">
        <v>1.59543E-4</v>
      </c>
      <c r="H24" s="3">
        <v>1.13359E-4</v>
      </c>
      <c r="I24" s="3">
        <v>9.8898000000000001E-5</v>
      </c>
      <c r="J24" s="3">
        <v>1.04962E-4</v>
      </c>
      <c r="K24" s="3">
        <v>1.2782000000000001E-4</v>
      </c>
    </row>
    <row r="25" spans="1:11" x14ac:dyDescent="0.25">
      <c r="A25" t="s">
        <v>27</v>
      </c>
      <c r="B25" s="3">
        <v>2.12723E-4</v>
      </c>
      <c r="C25" s="3">
        <v>1.3108600000000001E-4</v>
      </c>
      <c r="D25" s="3">
        <v>1.4647999999999999E-4</v>
      </c>
      <c r="E25" s="3">
        <v>1.2595400000000001E-4</v>
      </c>
      <c r="F25" s="3">
        <v>1.69338E-4</v>
      </c>
      <c r="G25" s="3">
        <v>1.32485E-4</v>
      </c>
      <c r="H25" s="3">
        <v>1.2222200000000001E-4</v>
      </c>
      <c r="I25" s="3">
        <v>1.04029E-4</v>
      </c>
      <c r="J25" s="3">
        <v>1.01697E-4</v>
      </c>
      <c r="K25" s="3">
        <v>1.1102700000000001E-4</v>
      </c>
    </row>
    <row r="26" spans="1:11" x14ac:dyDescent="0.25">
      <c r="A26" t="s">
        <v>28</v>
      </c>
      <c r="B26" s="3">
        <v>1.06362E-4</v>
      </c>
      <c r="C26" s="3">
        <v>3.8112900000000002E-4</v>
      </c>
      <c r="D26" s="3">
        <v>1.7073899999999999E-4</v>
      </c>
      <c r="E26" s="3">
        <v>1.0029700000000001E-4</v>
      </c>
      <c r="F26" s="3">
        <v>1.36217E-4</v>
      </c>
      <c r="G26" s="3">
        <v>1.24089E-4</v>
      </c>
      <c r="H26" s="3">
        <v>1.51612E-4</v>
      </c>
      <c r="I26" s="3">
        <v>1.3948300000000001E-4</v>
      </c>
      <c r="J26" s="3">
        <v>9.2367000000000005E-5</v>
      </c>
      <c r="K26" s="3">
        <v>8.3969999999999997E-5</v>
      </c>
    </row>
    <row r="27" spans="1:11" x14ac:dyDescent="0.25">
      <c r="A27" t="s">
        <v>29</v>
      </c>
      <c r="B27" s="3">
        <v>1.8566599999999999E-4</v>
      </c>
      <c r="C27" s="3">
        <v>1.3295200000000001E-4</v>
      </c>
      <c r="D27" s="3">
        <v>1.9033099999999999E-4</v>
      </c>
      <c r="E27" s="3">
        <v>2.16455E-4</v>
      </c>
      <c r="F27" s="3">
        <v>2.0665899999999999E-4</v>
      </c>
      <c r="G27" s="3">
        <v>1.9826199999999999E-4</v>
      </c>
      <c r="H27" s="3">
        <v>2.0246000000000001E-4</v>
      </c>
      <c r="I27" s="3">
        <v>1.98261E-4</v>
      </c>
      <c r="J27" s="3">
        <v>2.1458999999999999E-4</v>
      </c>
      <c r="K27" s="3">
        <v>2.0805800000000001E-4</v>
      </c>
    </row>
    <row r="28" spans="1:11" x14ac:dyDescent="0.25">
      <c r="A28" t="s">
        <v>30</v>
      </c>
      <c r="B28" s="3">
        <v>2.42112E-4</v>
      </c>
      <c r="C28" s="3">
        <v>1.2642099999999999E-4</v>
      </c>
      <c r="D28" s="3">
        <v>1.07295E-4</v>
      </c>
      <c r="E28" s="3">
        <v>9.5165000000000001E-5</v>
      </c>
      <c r="F28" s="3">
        <v>8.8169000000000002E-5</v>
      </c>
      <c r="G28" s="3">
        <v>8.5835999999999996E-5</v>
      </c>
      <c r="H28" s="3">
        <v>8.5834999999999994E-5</v>
      </c>
      <c r="I28" s="3">
        <v>1.44148E-4</v>
      </c>
      <c r="J28" s="3">
        <v>1.17558E-4</v>
      </c>
      <c r="K28" s="3">
        <v>1.19424E-4</v>
      </c>
    </row>
    <row r="29" spans="1:11" x14ac:dyDescent="0.25">
      <c r="A29" t="s">
        <v>136</v>
      </c>
      <c r="B29" s="3">
        <v>1.95463E-4</v>
      </c>
      <c r="C29" s="3">
        <v>9.1899999999999998E-5</v>
      </c>
      <c r="D29" s="3">
        <v>8.0238E-5</v>
      </c>
      <c r="E29" s="3">
        <v>8.3035999999999996E-5</v>
      </c>
      <c r="F29" s="3">
        <v>8.9567999999999994E-5</v>
      </c>
      <c r="G29" s="3">
        <v>7.6971999999999994E-5</v>
      </c>
      <c r="H29" s="3">
        <v>7.6505E-5</v>
      </c>
      <c r="I29" s="3">
        <v>7.6971999999999994E-5</v>
      </c>
      <c r="J29" s="3">
        <v>7.6038999999999995E-5</v>
      </c>
      <c r="K29" s="3">
        <v>7.8838000000000006E-5</v>
      </c>
    </row>
    <row r="30" spans="1:11" x14ac:dyDescent="0.25">
      <c r="A30" t="s">
        <v>137</v>
      </c>
      <c r="B30" s="3">
        <v>9.0033999999999999E-5</v>
      </c>
      <c r="C30" s="3">
        <v>7.3239999999999997E-5</v>
      </c>
      <c r="D30" s="3">
        <v>7.2308E-5</v>
      </c>
      <c r="E30" s="3">
        <v>7.6038999999999995E-5</v>
      </c>
      <c r="F30" s="3">
        <v>7.5573000000000003E-5</v>
      </c>
      <c r="G30" s="3">
        <v>1.3295200000000001E-4</v>
      </c>
      <c r="H30" s="3">
        <v>8.3036999999999998E-5</v>
      </c>
      <c r="I30" s="3">
        <v>7.7905999999999996E-5</v>
      </c>
      <c r="J30" s="3">
        <v>7.2774000000000005E-5</v>
      </c>
      <c r="K30" s="3">
        <v>7.2774000000000005E-5</v>
      </c>
    </row>
    <row r="31" spans="1:11" x14ac:dyDescent="0.25">
      <c r="A31" t="s">
        <v>138</v>
      </c>
      <c r="B31" s="3">
        <v>1.3575100000000001E-4</v>
      </c>
      <c r="C31" s="3">
        <v>8.4437000000000005E-5</v>
      </c>
      <c r="D31" s="3">
        <v>8.3035999999999996E-5</v>
      </c>
      <c r="E31" s="3">
        <v>8.2103999999999999E-5</v>
      </c>
      <c r="F31" s="3">
        <v>8.7701999999999995E-5</v>
      </c>
      <c r="G31" s="3">
        <v>9.0033999999999999E-5</v>
      </c>
      <c r="H31" s="3">
        <v>8.2103999999999999E-5</v>
      </c>
      <c r="I31" s="3">
        <v>8.0704000000000005E-5</v>
      </c>
      <c r="J31" s="3">
        <v>8.1170999999999999E-5</v>
      </c>
      <c r="K31" s="3">
        <v>8.1637000000000005E-5</v>
      </c>
    </row>
    <row r="32" spans="1:11" x14ac:dyDescent="0.25">
      <c r="A32" t="s">
        <v>139</v>
      </c>
      <c r="B32" s="3">
        <v>1.2408800000000001E-4</v>
      </c>
      <c r="C32" s="3">
        <v>1.0029799999999999E-4</v>
      </c>
      <c r="D32" s="3">
        <v>9.7963999999999999E-5</v>
      </c>
      <c r="E32" s="3">
        <v>9.9829999999999998E-5</v>
      </c>
      <c r="F32" s="3">
        <v>1.0916099999999999E-4</v>
      </c>
      <c r="G32" s="3">
        <v>1.1895700000000001E-4</v>
      </c>
      <c r="H32" s="3">
        <v>9.5166000000000003E-5</v>
      </c>
      <c r="I32" s="3">
        <v>9.3300000000000005E-5</v>
      </c>
      <c r="J32" s="3">
        <v>9.3765999999999996E-5</v>
      </c>
      <c r="K32" s="3">
        <v>1.6140800000000001E-4</v>
      </c>
    </row>
    <row r="33" spans="1:11" x14ac:dyDescent="0.25">
      <c r="A33" t="s">
        <v>140</v>
      </c>
      <c r="B33" s="3">
        <v>1.33418E-4</v>
      </c>
      <c r="C33" s="3">
        <v>1.08694E-4</v>
      </c>
      <c r="D33" s="3">
        <v>1.0916099999999999E-4</v>
      </c>
      <c r="E33" s="3">
        <v>1.11959E-4</v>
      </c>
      <c r="F33" s="3">
        <v>1.0449499999999999E-4</v>
      </c>
      <c r="G33" s="3">
        <v>1.04029E-4</v>
      </c>
      <c r="H33" s="3">
        <v>1.15225E-4</v>
      </c>
      <c r="I33" s="3">
        <v>1.13359E-4</v>
      </c>
      <c r="J33" s="3">
        <v>1.0636099999999999E-4</v>
      </c>
      <c r="K33" s="3">
        <v>1.01697E-4</v>
      </c>
    </row>
    <row r="34" spans="1:11" x14ac:dyDescent="0.25">
      <c r="A34" t="s">
        <v>141</v>
      </c>
      <c r="B34" s="3">
        <v>1.56744E-4</v>
      </c>
      <c r="C34" s="3">
        <v>1.0029700000000001E-4</v>
      </c>
      <c r="D34" s="3">
        <v>8.7235000000000001E-5</v>
      </c>
      <c r="E34" s="3">
        <v>8.7701999999999995E-5</v>
      </c>
      <c r="F34" s="3">
        <v>8.6768999999999995E-5</v>
      </c>
      <c r="G34" s="3">
        <v>9.1434000000000006E-5</v>
      </c>
      <c r="H34" s="3">
        <v>8.6768999999999995E-5</v>
      </c>
      <c r="I34" s="3">
        <v>8.6303000000000004E-5</v>
      </c>
      <c r="J34" s="3">
        <v>1.00763E-4</v>
      </c>
      <c r="K34" s="3">
        <v>9.5631999999999995E-5</v>
      </c>
    </row>
    <row r="35" spans="1:11" x14ac:dyDescent="0.25">
      <c r="A35" t="s">
        <v>142</v>
      </c>
      <c r="B35" s="3">
        <v>1.39949E-4</v>
      </c>
      <c r="C35" s="3">
        <v>9.1434000000000006E-5</v>
      </c>
      <c r="D35" s="3">
        <v>8.8168E-5</v>
      </c>
      <c r="E35" s="3">
        <v>8.6302000000000001E-5</v>
      </c>
      <c r="F35" s="3">
        <v>8.8168E-5</v>
      </c>
      <c r="G35" s="3">
        <v>9.2367000000000005E-5</v>
      </c>
      <c r="H35" s="3">
        <v>9.2832999999999997E-5</v>
      </c>
      <c r="I35" s="3">
        <v>8.8634999999999994E-5</v>
      </c>
      <c r="J35" s="3">
        <v>8.7701999999999995E-5</v>
      </c>
      <c r="K35" s="3">
        <v>8.8169000000000002E-5</v>
      </c>
    </row>
    <row r="37" spans="1:11" x14ac:dyDescent="0.25">
      <c r="A37" t="s">
        <v>3</v>
      </c>
      <c r="B37">
        <v>1.6649309999999999E-3</v>
      </c>
      <c r="C37" s="3">
        <v>2.0525000000000001E-5</v>
      </c>
      <c r="D37" s="3">
        <v>1.3528E-5</v>
      </c>
      <c r="E37" s="3">
        <v>1.3995000000000001E-5</v>
      </c>
      <c r="F37" s="3">
        <v>1.3062E-5</v>
      </c>
      <c r="G37" s="3">
        <v>1.2595999999999999E-5</v>
      </c>
      <c r="H37" s="3">
        <v>1.3528E-5</v>
      </c>
      <c r="I37" s="3">
        <v>2.2391999999999998E-5</v>
      </c>
      <c r="J37" s="3">
        <v>3.4054000000000003E-5</v>
      </c>
      <c r="K37" s="3">
        <v>2.8923000000000001E-5</v>
      </c>
    </row>
    <row r="38" spans="1:11" x14ac:dyDescent="0.25">
      <c r="A38" t="s">
        <v>4</v>
      </c>
      <c r="B38" s="3">
        <v>3.3587999999999998E-5</v>
      </c>
      <c r="C38" s="3">
        <v>1.7727000000000002E-5</v>
      </c>
      <c r="D38" s="3">
        <v>1.6793999999999999E-5</v>
      </c>
      <c r="E38" s="3">
        <v>1.7727000000000002E-5</v>
      </c>
      <c r="F38" s="3">
        <v>3.1721999999999999E-5</v>
      </c>
      <c r="G38" s="3">
        <v>1.2129E-5</v>
      </c>
      <c r="H38" s="3">
        <v>2.6123999999999999E-5</v>
      </c>
      <c r="I38" s="3">
        <v>2.0526E-5</v>
      </c>
      <c r="J38" s="3">
        <v>1.1663E-5</v>
      </c>
      <c r="K38" s="3">
        <v>1.1195999999999999E-5</v>
      </c>
    </row>
    <row r="39" spans="1:11" x14ac:dyDescent="0.25">
      <c r="A39" t="s">
        <v>5</v>
      </c>
      <c r="B39" s="3">
        <v>2.4258000000000001E-5</v>
      </c>
      <c r="C39" s="3">
        <v>9.7960000000000007E-6</v>
      </c>
      <c r="D39" s="3">
        <v>9.3300000000000005E-6</v>
      </c>
      <c r="E39" s="3">
        <v>9.3300000000000005E-6</v>
      </c>
      <c r="F39" s="3">
        <v>8.3969999999999994E-6</v>
      </c>
      <c r="G39" s="3">
        <v>8.8640000000000002E-6</v>
      </c>
      <c r="H39" s="3">
        <v>8.8640000000000002E-6</v>
      </c>
      <c r="I39" s="3">
        <v>2.3791E-5</v>
      </c>
      <c r="J39" s="3">
        <v>1.2129E-5</v>
      </c>
      <c r="K39" s="3">
        <v>8.8640000000000002E-6</v>
      </c>
    </row>
    <row r="40" spans="1:11" x14ac:dyDescent="0.25">
      <c r="A40" t="s">
        <v>6</v>
      </c>
      <c r="B40" s="3">
        <v>1.3528E-5</v>
      </c>
      <c r="C40" s="3">
        <v>1.2129E-5</v>
      </c>
      <c r="D40" s="3">
        <v>2.3791E-5</v>
      </c>
      <c r="E40" s="3">
        <v>3.7320000000000002E-5</v>
      </c>
      <c r="F40" s="3">
        <v>9.7969999999999995E-6</v>
      </c>
      <c r="G40" s="3">
        <v>9.7969999999999995E-6</v>
      </c>
      <c r="H40" s="3">
        <v>1.1195999999999999E-5</v>
      </c>
      <c r="I40" s="3">
        <v>1.4928E-5</v>
      </c>
      <c r="J40" s="3">
        <v>1.3062E-5</v>
      </c>
      <c r="K40" s="3">
        <v>1.3995000000000001E-5</v>
      </c>
    </row>
    <row r="41" spans="1:11" x14ac:dyDescent="0.25">
      <c r="A41" t="s">
        <v>7</v>
      </c>
      <c r="B41" s="3">
        <v>1.2595999999999999E-5</v>
      </c>
      <c r="C41" s="3">
        <v>1.1195999999999999E-5</v>
      </c>
      <c r="D41" s="3">
        <v>1.0730000000000001E-5</v>
      </c>
      <c r="E41" s="3">
        <v>9.7960000000000007E-6</v>
      </c>
      <c r="F41" s="3">
        <v>1.7725999999999999E-5</v>
      </c>
      <c r="G41" s="3">
        <v>4.0584999999999999E-5</v>
      </c>
      <c r="H41" s="3">
        <v>7.9310000000000008E-6</v>
      </c>
      <c r="I41" s="3">
        <v>7.464E-6</v>
      </c>
      <c r="J41" s="3">
        <v>9.3300000000000005E-6</v>
      </c>
      <c r="K41" s="3">
        <v>7.9310000000000008E-6</v>
      </c>
    </row>
    <row r="42" spans="1:11" x14ac:dyDescent="0.25">
      <c r="A42" t="s">
        <v>8</v>
      </c>
      <c r="B42" s="3">
        <v>1.3528E-5</v>
      </c>
      <c r="C42" s="3">
        <v>2.6123999999999999E-5</v>
      </c>
      <c r="D42" s="3">
        <v>2.9856E-5</v>
      </c>
      <c r="E42" s="3">
        <v>1.3529E-5</v>
      </c>
      <c r="F42" s="3">
        <v>9.3300000000000005E-6</v>
      </c>
      <c r="G42" s="3">
        <v>1.1195999999999999E-5</v>
      </c>
      <c r="H42" s="3">
        <v>9.3300000000000005E-6</v>
      </c>
      <c r="I42" s="3">
        <v>1.0730000000000001E-5</v>
      </c>
      <c r="J42" s="3">
        <v>8.8629999999999997E-6</v>
      </c>
      <c r="K42" s="3">
        <v>8.8640000000000002E-6</v>
      </c>
    </row>
    <row r="43" spans="1:11" x14ac:dyDescent="0.25">
      <c r="A43" t="s">
        <v>9</v>
      </c>
      <c r="B43" s="3">
        <v>1.0263E-5</v>
      </c>
      <c r="C43" s="3">
        <v>8.8640000000000002E-6</v>
      </c>
      <c r="D43" s="3">
        <v>7.9300000000000003E-6</v>
      </c>
      <c r="E43" s="3">
        <v>8.3969999999999994E-6</v>
      </c>
      <c r="F43" s="3">
        <v>1.2595000000000001E-5</v>
      </c>
      <c r="G43" s="3">
        <v>8.3969999999999994E-6</v>
      </c>
      <c r="H43" s="3">
        <v>8.3969999999999994E-6</v>
      </c>
      <c r="I43" s="3">
        <v>9.7960000000000007E-6</v>
      </c>
      <c r="J43" s="3">
        <v>8.3969999999999994E-6</v>
      </c>
      <c r="K43" s="3">
        <v>8.8640000000000002E-6</v>
      </c>
    </row>
    <row r="44" spans="1:11" x14ac:dyDescent="0.25">
      <c r="A44" t="s">
        <v>10</v>
      </c>
      <c r="B44" s="3">
        <v>1.1663E-5</v>
      </c>
      <c r="C44" s="3">
        <v>1.1195999999999999E-5</v>
      </c>
      <c r="D44" s="3">
        <v>1.2595999999999999E-5</v>
      </c>
      <c r="E44" s="3">
        <v>1.4462E-5</v>
      </c>
      <c r="F44" s="3">
        <v>9.3300000000000005E-6</v>
      </c>
      <c r="G44" s="3">
        <v>1.1195999999999999E-5</v>
      </c>
      <c r="H44" s="3">
        <v>1.3061000000000001E-5</v>
      </c>
      <c r="I44" s="3">
        <v>8.8629999999999997E-6</v>
      </c>
      <c r="J44" s="3">
        <v>1.1663E-5</v>
      </c>
      <c r="K44" s="3">
        <v>9.329E-6</v>
      </c>
    </row>
    <row r="45" spans="1:11" x14ac:dyDescent="0.25">
      <c r="A45" t="s">
        <v>11</v>
      </c>
      <c r="B45" s="3">
        <v>1.6793999999999999E-5</v>
      </c>
      <c r="C45" s="3">
        <v>1.5860999999999999E-5</v>
      </c>
      <c r="D45" s="3">
        <v>1.4462E-5</v>
      </c>
      <c r="E45" s="3">
        <v>1.7727000000000002E-5</v>
      </c>
      <c r="F45" s="3">
        <v>1.8193E-5</v>
      </c>
      <c r="G45" s="3">
        <v>2.6123999999999999E-5</v>
      </c>
      <c r="H45" s="3">
        <v>2.1925000000000001E-5</v>
      </c>
      <c r="I45" s="3">
        <v>1.4460999999999999E-5</v>
      </c>
      <c r="J45" s="3">
        <v>1.5393999999999999E-5</v>
      </c>
      <c r="K45" s="3">
        <v>1.4462E-5</v>
      </c>
    </row>
    <row r="46" spans="1:11" x14ac:dyDescent="0.25">
      <c r="A46" t="s">
        <v>12</v>
      </c>
      <c r="B46" s="3">
        <v>2.2858999999999999E-5</v>
      </c>
      <c r="C46" s="3">
        <v>1.5860999999999999E-5</v>
      </c>
      <c r="D46" s="3">
        <v>1.4928E-5</v>
      </c>
      <c r="E46" s="3">
        <v>2.1926E-5</v>
      </c>
      <c r="F46" s="3">
        <v>1.6793999999999999E-5</v>
      </c>
      <c r="G46" s="3">
        <v>1.3995000000000001E-5</v>
      </c>
      <c r="H46" s="3">
        <v>1.4462E-5</v>
      </c>
      <c r="I46" s="3">
        <v>1.5860999999999999E-5</v>
      </c>
      <c r="J46" s="3">
        <v>1.6793999999999999E-5</v>
      </c>
      <c r="K46" s="3">
        <v>1.4928E-5</v>
      </c>
    </row>
    <row r="47" spans="1:11" x14ac:dyDescent="0.25">
      <c r="A47" t="s">
        <v>13</v>
      </c>
      <c r="B47" s="3">
        <v>2.2391999999999998E-5</v>
      </c>
      <c r="C47" s="3">
        <v>2.1925000000000001E-5</v>
      </c>
      <c r="D47" s="3">
        <v>3.2189E-5</v>
      </c>
      <c r="E47" s="3">
        <v>1.9593E-5</v>
      </c>
      <c r="F47" s="3">
        <v>1.5860999999999999E-5</v>
      </c>
      <c r="G47" s="3">
        <v>1.7727000000000002E-5</v>
      </c>
      <c r="H47" s="3">
        <v>1.6328E-5</v>
      </c>
      <c r="I47" s="3">
        <v>2.6590000000000001E-5</v>
      </c>
      <c r="J47" s="3">
        <v>2.4258000000000001E-5</v>
      </c>
      <c r="K47" s="3">
        <v>1.5860999999999999E-5</v>
      </c>
    </row>
    <row r="48" spans="1:11" x14ac:dyDescent="0.25">
      <c r="A48" t="s">
        <v>14</v>
      </c>
      <c r="B48" s="3">
        <v>2.0992000000000002E-5</v>
      </c>
      <c r="C48" s="3">
        <v>1.3529E-5</v>
      </c>
      <c r="D48" s="3">
        <v>1.4460999999999999E-5</v>
      </c>
      <c r="E48" s="3">
        <v>1.1195999999999999E-5</v>
      </c>
      <c r="F48" s="3">
        <v>1.3995000000000001E-5</v>
      </c>
      <c r="G48" s="3">
        <v>1.3062E-5</v>
      </c>
      <c r="H48" s="3">
        <v>1.1195999999999999E-5</v>
      </c>
      <c r="I48" s="3">
        <v>1.4928E-5</v>
      </c>
      <c r="J48" s="3">
        <v>1.0730000000000001E-5</v>
      </c>
      <c r="K48" s="3">
        <v>1.2595000000000001E-5</v>
      </c>
    </row>
    <row r="49" spans="1:11" x14ac:dyDescent="0.25">
      <c r="A49" t="s">
        <v>15</v>
      </c>
      <c r="B49" s="3">
        <v>8.8629999999999997E-6</v>
      </c>
      <c r="C49" s="3">
        <v>8.8640000000000002E-6</v>
      </c>
      <c r="D49" s="3">
        <v>1.0263E-5</v>
      </c>
      <c r="E49" s="3">
        <v>8.8629999999999997E-6</v>
      </c>
      <c r="F49" s="3">
        <v>8.8640000000000002E-6</v>
      </c>
      <c r="G49" s="3">
        <v>9.329E-6</v>
      </c>
      <c r="H49" s="3">
        <v>1.2595999999999999E-5</v>
      </c>
      <c r="I49" s="3">
        <v>9.3300000000000005E-6</v>
      </c>
      <c r="J49" s="3">
        <v>1.4928E-5</v>
      </c>
      <c r="K49" s="3">
        <v>1.2595000000000001E-5</v>
      </c>
    </row>
    <row r="50" spans="1:11" x14ac:dyDescent="0.25">
      <c r="A50" t="s">
        <v>16</v>
      </c>
      <c r="B50" s="3">
        <v>1.3529E-5</v>
      </c>
      <c r="C50" s="3">
        <v>1.8660000000000001E-5</v>
      </c>
      <c r="D50" s="3">
        <v>1.1663E-5</v>
      </c>
      <c r="E50" s="3">
        <v>1.1195999999999999E-5</v>
      </c>
      <c r="F50" s="3">
        <v>1.1661999999999999E-5</v>
      </c>
      <c r="G50" s="3">
        <v>1.1663E-5</v>
      </c>
      <c r="H50" s="3">
        <v>1.1663E-5</v>
      </c>
      <c r="I50" s="3">
        <v>1.4462E-5</v>
      </c>
      <c r="J50" s="3">
        <v>1.7261E-5</v>
      </c>
      <c r="K50" s="3">
        <v>1.1661999999999999E-5</v>
      </c>
    </row>
    <row r="51" spans="1:11" x14ac:dyDescent="0.25">
      <c r="A51" t="s">
        <v>17</v>
      </c>
      <c r="B51" s="3">
        <v>1.7261E-5</v>
      </c>
      <c r="C51" s="3">
        <v>9.3300000000000005E-6</v>
      </c>
      <c r="D51" s="3">
        <v>8.8629999999999997E-6</v>
      </c>
      <c r="E51" s="3">
        <v>1.2595999999999999E-5</v>
      </c>
      <c r="F51" s="3">
        <v>1.1195999999999999E-5</v>
      </c>
      <c r="G51" s="3">
        <v>2.0526E-5</v>
      </c>
      <c r="H51" s="3">
        <v>3.0788999999999999E-5</v>
      </c>
      <c r="I51" s="3">
        <v>9.7960000000000007E-6</v>
      </c>
      <c r="J51" s="3">
        <v>9.3300000000000005E-6</v>
      </c>
      <c r="K51" s="3">
        <v>8.8629999999999997E-6</v>
      </c>
    </row>
    <row r="52" spans="1:11" x14ac:dyDescent="0.25">
      <c r="A52" t="s">
        <v>18</v>
      </c>
      <c r="B52" s="3">
        <v>1.6793999999999999E-5</v>
      </c>
      <c r="C52" s="3">
        <v>2.0526E-5</v>
      </c>
      <c r="D52" s="3">
        <v>1.8193E-5</v>
      </c>
      <c r="E52" s="3">
        <v>1.8660000000000001E-5</v>
      </c>
      <c r="F52" s="3">
        <v>1.7261E-5</v>
      </c>
      <c r="G52" s="3">
        <v>2.1926E-5</v>
      </c>
      <c r="H52" s="3">
        <v>1.5860999999999999E-5</v>
      </c>
      <c r="I52" s="3">
        <v>1.5395000000000001E-5</v>
      </c>
      <c r="J52" s="3">
        <v>1.4928E-5</v>
      </c>
      <c r="K52" s="3">
        <v>1.5860999999999999E-5</v>
      </c>
    </row>
    <row r="53" spans="1:11" x14ac:dyDescent="0.25">
      <c r="A53" t="s">
        <v>19</v>
      </c>
      <c r="B53" s="3">
        <v>1.8660000000000001E-5</v>
      </c>
      <c r="C53" s="3">
        <v>1.3528E-5</v>
      </c>
      <c r="D53" s="3">
        <v>1.3061000000000001E-5</v>
      </c>
      <c r="E53" s="3">
        <v>1.3528E-5</v>
      </c>
      <c r="F53" s="3">
        <v>1.4928E-5</v>
      </c>
      <c r="G53" s="3">
        <v>1.9127000000000002E-5</v>
      </c>
      <c r="H53" s="3">
        <v>1.9593E-5</v>
      </c>
      <c r="I53" s="3">
        <v>1.4928E-5</v>
      </c>
      <c r="J53" s="3">
        <v>1.3995000000000001E-5</v>
      </c>
      <c r="K53" s="3">
        <v>1.3062E-5</v>
      </c>
    </row>
    <row r="54" spans="1:11" x14ac:dyDescent="0.25">
      <c r="A54" t="s">
        <v>20</v>
      </c>
      <c r="B54" s="3">
        <v>2.0058999999999999E-5</v>
      </c>
      <c r="C54" s="3">
        <v>1.3062E-5</v>
      </c>
      <c r="D54" s="3">
        <v>1.2595999999999999E-5</v>
      </c>
      <c r="E54" s="3">
        <v>1.3062E-5</v>
      </c>
      <c r="F54" s="3">
        <v>1.2595000000000001E-5</v>
      </c>
      <c r="G54" s="3">
        <v>1.3994E-5</v>
      </c>
      <c r="H54" s="3">
        <v>2.2391999999999998E-5</v>
      </c>
      <c r="I54" s="3">
        <v>1.9593E-5</v>
      </c>
      <c r="J54" s="3">
        <v>1.3062E-5</v>
      </c>
      <c r="K54" s="3">
        <v>2.0060000000000001E-5</v>
      </c>
    </row>
    <row r="55" spans="1:11" x14ac:dyDescent="0.25">
      <c r="A55" t="s">
        <v>21</v>
      </c>
      <c r="B55" s="3">
        <v>2.5658000000000001E-5</v>
      </c>
      <c r="C55" s="3">
        <v>1.9593E-5</v>
      </c>
      <c r="D55" s="3">
        <v>2.0992000000000002E-5</v>
      </c>
      <c r="E55" s="3">
        <v>1.9126E-5</v>
      </c>
      <c r="F55" s="3">
        <v>2.3791999999999999E-5</v>
      </c>
      <c r="G55" s="3">
        <v>1.8660000000000001E-5</v>
      </c>
      <c r="H55" s="3">
        <v>1.8658999999999999E-5</v>
      </c>
      <c r="I55" s="3">
        <v>3.0788999999999999E-5</v>
      </c>
      <c r="J55" s="3">
        <v>2.0060000000000001E-5</v>
      </c>
      <c r="K55" s="3">
        <v>1.9593E-5</v>
      </c>
    </row>
    <row r="56" spans="1:11" x14ac:dyDescent="0.25">
      <c r="A56" t="s">
        <v>22</v>
      </c>
      <c r="B56" s="3">
        <v>4.0586000000000001E-5</v>
      </c>
      <c r="C56" s="3">
        <v>2.9390000000000002E-5</v>
      </c>
      <c r="D56" s="3">
        <v>1.7260000000000001E-5</v>
      </c>
      <c r="E56" s="3">
        <v>2.0993E-5</v>
      </c>
      <c r="F56" s="3">
        <v>1.4928E-5</v>
      </c>
      <c r="G56" s="3">
        <v>1.6327000000000001E-5</v>
      </c>
      <c r="H56" s="3">
        <v>1.6328E-5</v>
      </c>
      <c r="I56" s="3">
        <v>1.5860999999999999E-5</v>
      </c>
      <c r="J56" s="3">
        <v>2.0058999999999999E-5</v>
      </c>
      <c r="K56" s="3">
        <v>1.4928E-5</v>
      </c>
    </row>
    <row r="57" spans="1:11" x14ac:dyDescent="0.25">
      <c r="A57" t="s">
        <v>23</v>
      </c>
      <c r="B57" s="3">
        <v>1.6793E-5</v>
      </c>
      <c r="C57" s="3">
        <v>1.5393999999999999E-5</v>
      </c>
      <c r="D57" s="3">
        <v>1.4928E-5</v>
      </c>
      <c r="E57" s="3">
        <v>1.4460999999999999E-5</v>
      </c>
      <c r="F57" s="3">
        <v>1.4460999999999999E-5</v>
      </c>
      <c r="G57" s="3">
        <v>2.8456999999999999E-5</v>
      </c>
      <c r="H57" s="3">
        <v>2.2858E-5</v>
      </c>
      <c r="I57" s="3">
        <v>1.8660000000000001E-5</v>
      </c>
      <c r="J57" s="3">
        <v>1.5395000000000001E-5</v>
      </c>
      <c r="K57" s="3">
        <v>1.4928E-5</v>
      </c>
    </row>
    <row r="58" spans="1:11" x14ac:dyDescent="0.25">
      <c r="A58" t="s">
        <v>24</v>
      </c>
      <c r="B58" s="3">
        <v>4.2917000000000003E-5</v>
      </c>
      <c r="C58" s="3">
        <v>1.3528E-5</v>
      </c>
      <c r="D58" s="3">
        <v>1.8193E-5</v>
      </c>
      <c r="E58" s="3">
        <v>1.4460999999999999E-5</v>
      </c>
      <c r="F58" s="3">
        <v>1.3528E-5</v>
      </c>
      <c r="G58" s="3">
        <v>1.3062E-5</v>
      </c>
      <c r="H58" s="3">
        <v>2.0058999999999999E-5</v>
      </c>
      <c r="I58" s="3">
        <v>1.5393999999999999E-5</v>
      </c>
      <c r="J58" s="3">
        <v>1.5393999999999999E-5</v>
      </c>
      <c r="K58" s="3">
        <v>2.5658000000000001E-5</v>
      </c>
    </row>
    <row r="59" spans="1:11" x14ac:dyDescent="0.25">
      <c r="A59" t="s">
        <v>25</v>
      </c>
      <c r="B59" s="3">
        <v>3.5920000000000002E-5</v>
      </c>
      <c r="C59" s="3">
        <v>1.8660000000000001E-5</v>
      </c>
      <c r="D59" s="3">
        <v>1.7727000000000002E-5</v>
      </c>
      <c r="E59" s="3">
        <v>3.3587999999999998E-5</v>
      </c>
      <c r="F59" s="3">
        <v>4.2450999999999997E-5</v>
      </c>
      <c r="G59" s="3">
        <v>5.3647000000000003E-5</v>
      </c>
      <c r="H59" s="3">
        <v>1.8660000000000001E-5</v>
      </c>
      <c r="I59" s="3">
        <v>1.6793999999999999E-5</v>
      </c>
      <c r="J59" s="3">
        <v>1.5393999999999999E-5</v>
      </c>
      <c r="K59" s="3">
        <v>1.8193E-5</v>
      </c>
    </row>
    <row r="60" spans="1:11" x14ac:dyDescent="0.25">
      <c r="A60" t="s">
        <v>26</v>
      </c>
      <c r="B60" s="3">
        <v>1.5395000000000001E-5</v>
      </c>
      <c r="C60" s="3">
        <v>1.4928E-5</v>
      </c>
      <c r="D60" s="3">
        <v>2.0993E-5</v>
      </c>
      <c r="E60" s="3">
        <v>3.0321999999999999E-5</v>
      </c>
      <c r="F60" s="3">
        <v>1.5393999999999999E-5</v>
      </c>
      <c r="G60" s="3">
        <v>1.4462E-5</v>
      </c>
      <c r="H60" s="3">
        <v>1.3529E-5</v>
      </c>
      <c r="I60" s="3">
        <v>1.3062E-5</v>
      </c>
      <c r="J60" s="3">
        <v>1.3529E-5</v>
      </c>
      <c r="K60" s="3">
        <v>3.1256E-5</v>
      </c>
    </row>
    <row r="61" spans="1:11" x14ac:dyDescent="0.25">
      <c r="A61" t="s">
        <v>27</v>
      </c>
      <c r="B61" s="3">
        <v>1.5860999999999999E-5</v>
      </c>
      <c r="C61" s="3">
        <v>1.4928E-5</v>
      </c>
      <c r="D61" s="3">
        <v>3.1721999999999999E-5</v>
      </c>
      <c r="E61" s="3">
        <v>1.6327000000000001E-5</v>
      </c>
      <c r="F61" s="3">
        <v>1.5393999999999999E-5</v>
      </c>
      <c r="G61" s="3">
        <v>1.4928E-5</v>
      </c>
      <c r="H61" s="3">
        <v>1.4460999999999999E-5</v>
      </c>
      <c r="I61" s="3">
        <v>4.1984999999999999E-5</v>
      </c>
      <c r="J61" s="3">
        <v>1.1661999999999999E-5</v>
      </c>
      <c r="K61" s="3">
        <v>1.1663E-5</v>
      </c>
    </row>
    <row r="62" spans="1:11" x14ac:dyDescent="0.25">
      <c r="A62" t="s">
        <v>28</v>
      </c>
      <c r="B62" s="3">
        <v>1.2129E-5</v>
      </c>
      <c r="C62" s="3">
        <v>1.6793999999999999E-5</v>
      </c>
      <c r="D62" s="3">
        <v>1.1661999999999999E-5</v>
      </c>
      <c r="E62" s="3">
        <v>1.3062E-5</v>
      </c>
      <c r="F62" s="3">
        <v>1.2129E-5</v>
      </c>
      <c r="G62" s="3">
        <v>1.2129E-5</v>
      </c>
      <c r="H62" s="3">
        <v>1.2595000000000001E-5</v>
      </c>
      <c r="I62" s="3">
        <v>1.2128E-5</v>
      </c>
      <c r="J62" s="3">
        <v>1.2129E-5</v>
      </c>
      <c r="K62" s="3">
        <v>1.3062E-5</v>
      </c>
    </row>
    <row r="63" spans="1:11" x14ac:dyDescent="0.25">
      <c r="A63" t="s">
        <v>29</v>
      </c>
      <c r="B63" s="3">
        <v>1.8660000000000001E-5</v>
      </c>
      <c r="C63" s="3">
        <v>1.6327000000000001E-5</v>
      </c>
      <c r="D63" s="3">
        <v>1.7727000000000002E-5</v>
      </c>
      <c r="E63" s="3">
        <v>1.6793999999999999E-5</v>
      </c>
      <c r="F63" s="3">
        <v>4.5250000000000002E-5</v>
      </c>
      <c r="G63" s="3">
        <v>2.0058999999999999E-5</v>
      </c>
      <c r="H63" s="3">
        <v>1.9126E-5</v>
      </c>
      <c r="I63" s="3">
        <v>1.8193E-5</v>
      </c>
      <c r="J63" s="3">
        <v>1.7727000000000002E-5</v>
      </c>
      <c r="K63" s="3">
        <v>1.8193E-5</v>
      </c>
    </row>
    <row r="64" spans="1:11" x14ac:dyDescent="0.25">
      <c r="A64" t="s">
        <v>30</v>
      </c>
      <c r="B64" s="3">
        <v>3.8719E-5</v>
      </c>
      <c r="C64" s="3">
        <v>9.2366000000000003E-5</v>
      </c>
      <c r="D64" s="3">
        <v>3.2654999999999998E-5</v>
      </c>
      <c r="E64" s="3">
        <v>3.1721999999999999E-5</v>
      </c>
      <c r="F64" s="3">
        <v>2.6123999999999999E-5</v>
      </c>
      <c r="G64" s="3">
        <v>2.1458999999999999E-5</v>
      </c>
      <c r="H64" s="3">
        <v>1.9593E-5</v>
      </c>
      <c r="I64" s="3">
        <v>1.4928E-5</v>
      </c>
      <c r="J64" s="3">
        <v>2.0060000000000001E-5</v>
      </c>
      <c r="K64" s="3">
        <v>1.8660000000000001E-5</v>
      </c>
    </row>
    <row r="65" spans="1:11" x14ac:dyDescent="0.25">
      <c r="A65" t="s">
        <v>136</v>
      </c>
      <c r="B65" s="3">
        <v>1.5860999999999999E-5</v>
      </c>
      <c r="C65" s="3">
        <v>1.3995000000000001E-5</v>
      </c>
      <c r="D65" s="3">
        <v>1.5393999999999999E-5</v>
      </c>
      <c r="E65" s="3">
        <v>1.6793999999999999E-5</v>
      </c>
      <c r="F65" s="3">
        <v>1.6793999999999999E-5</v>
      </c>
      <c r="G65" s="3">
        <v>1.3995000000000001E-5</v>
      </c>
      <c r="H65" s="3">
        <v>1.3528E-5</v>
      </c>
      <c r="I65" s="3">
        <v>1.1195999999999999E-5</v>
      </c>
      <c r="J65" s="3">
        <v>1.1195999999999999E-5</v>
      </c>
      <c r="K65" s="3">
        <v>1.1663E-5</v>
      </c>
    </row>
    <row r="66" spans="1:11" x14ac:dyDescent="0.25">
      <c r="A66" t="s">
        <v>137</v>
      </c>
      <c r="B66" s="3">
        <v>1.2595000000000001E-5</v>
      </c>
      <c r="C66" s="3">
        <v>1.1661999999999999E-5</v>
      </c>
      <c r="D66" s="3">
        <v>1.1661999999999999E-5</v>
      </c>
      <c r="E66" s="3">
        <v>1.9593E-5</v>
      </c>
      <c r="F66" s="3">
        <v>1.2128E-5</v>
      </c>
      <c r="G66" s="3">
        <v>1.8660000000000001E-5</v>
      </c>
      <c r="H66" s="3">
        <v>1.3062E-5</v>
      </c>
      <c r="I66" s="3">
        <v>1.3529E-5</v>
      </c>
      <c r="J66" s="3">
        <v>1.2129E-5</v>
      </c>
      <c r="K66" s="3">
        <v>1.2129E-5</v>
      </c>
    </row>
    <row r="67" spans="1:11" x14ac:dyDescent="0.25">
      <c r="A67" t="s">
        <v>138</v>
      </c>
      <c r="B67" s="3">
        <v>2.3791E-5</v>
      </c>
      <c r="C67" s="3">
        <v>1.6328E-5</v>
      </c>
      <c r="D67" s="3">
        <v>1.4460999999999999E-5</v>
      </c>
      <c r="E67" s="3">
        <v>1.3995000000000001E-5</v>
      </c>
      <c r="F67" s="3">
        <v>1.3995000000000001E-5</v>
      </c>
      <c r="G67" s="3">
        <v>1.2129E-5</v>
      </c>
      <c r="H67" s="3">
        <v>1.2595999999999999E-5</v>
      </c>
      <c r="I67" s="3">
        <v>1.2595999999999999E-5</v>
      </c>
      <c r="J67" s="3">
        <v>1.3528E-5</v>
      </c>
      <c r="K67" s="3">
        <v>1.3062E-5</v>
      </c>
    </row>
    <row r="68" spans="1:11" x14ac:dyDescent="0.25">
      <c r="A68" t="s">
        <v>139</v>
      </c>
      <c r="B68" s="3">
        <v>1.6793999999999999E-5</v>
      </c>
      <c r="C68" s="3">
        <v>2.0526E-5</v>
      </c>
      <c r="D68" s="3">
        <v>1.6793999999999999E-5</v>
      </c>
      <c r="E68" s="3">
        <v>1.6793999999999999E-5</v>
      </c>
      <c r="F68" s="3">
        <v>1.5395000000000001E-5</v>
      </c>
      <c r="G68" s="3">
        <v>1.6793999999999999E-5</v>
      </c>
      <c r="H68" s="3">
        <v>2.0992000000000002E-5</v>
      </c>
      <c r="I68" s="3">
        <v>1.6793999999999999E-5</v>
      </c>
      <c r="J68" s="3">
        <v>1.6793999999999999E-5</v>
      </c>
      <c r="K68" s="3">
        <v>1.6328E-5</v>
      </c>
    </row>
    <row r="69" spans="1:11" x14ac:dyDescent="0.25">
      <c r="A69" t="s">
        <v>140</v>
      </c>
      <c r="B69" s="3">
        <v>2.1458999999999999E-5</v>
      </c>
      <c r="C69" s="3">
        <v>2.0058999999999999E-5</v>
      </c>
      <c r="D69" s="3">
        <v>1.6793999999999999E-5</v>
      </c>
      <c r="E69" s="3">
        <v>1.8193E-5</v>
      </c>
      <c r="F69" s="3">
        <v>1.8193E-5</v>
      </c>
      <c r="G69" s="3">
        <v>1.8660000000000001E-5</v>
      </c>
      <c r="H69" s="3">
        <v>1.8193E-5</v>
      </c>
      <c r="I69" s="3">
        <v>1.9126E-5</v>
      </c>
      <c r="J69" s="3">
        <v>2.0992000000000002E-5</v>
      </c>
      <c r="K69" s="3">
        <v>2.0992000000000002E-5</v>
      </c>
    </row>
    <row r="70" spans="1:11" x14ac:dyDescent="0.25">
      <c r="A70" t="s">
        <v>141</v>
      </c>
      <c r="B70" s="3">
        <v>1.7727000000000002E-5</v>
      </c>
      <c r="C70" s="3">
        <v>1.6327000000000001E-5</v>
      </c>
      <c r="D70" s="3">
        <v>2.0993E-5</v>
      </c>
      <c r="E70" s="3">
        <v>1.4928E-5</v>
      </c>
      <c r="F70" s="3">
        <v>1.6328E-5</v>
      </c>
      <c r="G70" s="3">
        <v>1.6327000000000001E-5</v>
      </c>
      <c r="H70" s="3">
        <v>1.5860999999999999E-5</v>
      </c>
      <c r="I70" s="3">
        <v>1.6327000000000001E-5</v>
      </c>
      <c r="J70" s="3">
        <v>1.6328E-5</v>
      </c>
      <c r="K70" s="3">
        <v>1.7727000000000002E-5</v>
      </c>
    </row>
    <row r="71" spans="1:11" x14ac:dyDescent="0.25">
      <c r="A71" t="s">
        <v>142</v>
      </c>
      <c r="B71" s="3">
        <v>1.9593E-5</v>
      </c>
      <c r="C71" s="3">
        <v>1.6327000000000001E-5</v>
      </c>
      <c r="D71" s="3">
        <v>1.8660000000000001E-5</v>
      </c>
      <c r="E71" s="3">
        <v>1.4928E-5</v>
      </c>
      <c r="F71" s="3">
        <v>1.6327000000000001E-5</v>
      </c>
      <c r="G71" s="3">
        <v>1.6328E-5</v>
      </c>
      <c r="H71" s="3">
        <v>1.6793999999999999E-5</v>
      </c>
      <c r="I71" s="3">
        <v>1.4460999999999999E-5</v>
      </c>
      <c r="J71" s="3">
        <v>1.6327000000000001E-5</v>
      </c>
      <c r="K71" s="3">
        <v>1.7727000000000002E-5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workbookViewId="0"/>
  </sheetViews>
  <sheetFormatPr defaultRowHeight="15" x14ac:dyDescent="0.25"/>
  <cols>
    <col min="1" max="1" width="8.5703125" bestFit="1" customWidth="1"/>
    <col min="2" max="6" width="8.28515625" bestFit="1" customWidth="1"/>
    <col min="7" max="7" width="11" bestFit="1" customWidth="1"/>
    <col min="8" max="11" width="8.28515625" bestFit="1" customWidth="1"/>
  </cols>
  <sheetData>
    <row r="1" spans="1:11" x14ac:dyDescent="0.25">
      <c r="A1" t="s">
        <v>3</v>
      </c>
      <c r="B1" s="3">
        <v>1.68405E-4</v>
      </c>
      <c r="C1" s="3">
        <v>4.8049E-5</v>
      </c>
      <c r="D1" s="3">
        <v>4.4317000000000003E-5</v>
      </c>
      <c r="E1" s="3">
        <v>4.6183000000000002E-5</v>
      </c>
      <c r="F1" s="3">
        <v>4.4317000000000003E-5</v>
      </c>
      <c r="G1" s="3">
        <v>4.2450999999999997E-5</v>
      </c>
      <c r="H1" s="3">
        <v>4.1519E-5</v>
      </c>
      <c r="I1" s="3">
        <v>4.2450999999999997E-5</v>
      </c>
      <c r="J1" s="3">
        <v>4.1519E-5</v>
      </c>
      <c r="K1" s="3">
        <v>4.1519E-5</v>
      </c>
    </row>
    <row r="2" spans="1:11" x14ac:dyDescent="0.25">
      <c r="A2" t="s">
        <v>4</v>
      </c>
      <c r="B2" s="3">
        <v>1.1989000000000001E-4</v>
      </c>
      <c r="C2" s="3">
        <v>5.7379000000000001E-5</v>
      </c>
      <c r="D2" s="3">
        <v>5.5047000000000003E-5</v>
      </c>
      <c r="E2" s="3">
        <v>5.2713999999999997E-5</v>
      </c>
      <c r="F2" s="3">
        <v>5.3180999999999998E-5</v>
      </c>
      <c r="G2" s="3">
        <v>5.3180999999999998E-5</v>
      </c>
      <c r="H2" s="3">
        <v>5.3180999999999998E-5</v>
      </c>
      <c r="I2" s="3">
        <v>5.6913000000000002E-5</v>
      </c>
      <c r="J2" s="3">
        <v>5.3180999999999998E-5</v>
      </c>
      <c r="K2" s="3">
        <v>5.2713999999999997E-5</v>
      </c>
    </row>
    <row r="3" spans="1:11" x14ac:dyDescent="0.25">
      <c r="A3" t="s">
        <v>5</v>
      </c>
      <c r="B3" s="3">
        <v>1.9686200000000001E-4</v>
      </c>
      <c r="C3" s="3">
        <v>1.0822799999999999E-4</v>
      </c>
      <c r="D3" s="3">
        <v>1.13825E-4</v>
      </c>
      <c r="E3" s="3">
        <v>1.12426E-4</v>
      </c>
      <c r="F3" s="3">
        <v>1.12892E-4</v>
      </c>
      <c r="G3" s="3">
        <v>1.12426E-4</v>
      </c>
      <c r="H3" s="3">
        <v>1.12426E-4</v>
      </c>
      <c r="I3" s="3">
        <v>1.12426E-4</v>
      </c>
      <c r="J3" s="3">
        <v>1.2922000000000001E-4</v>
      </c>
      <c r="K3" s="3">
        <v>1.13825E-4</v>
      </c>
    </row>
    <row r="4" spans="1:11" x14ac:dyDescent="0.25">
      <c r="A4" t="s">
        <v>6</v>
      </c>
      <c r="B4" s="3">
        <v>1.5814299999999999E-4</v>
      </c>
      <c r="C4" s="3">
        <v>9.8898000000000001E-5</v>
      </c>
      <c r="D4" s="3">
        <v>9.7032000000000002E-5</v>
      </c>
      <c r="E4" s="3">
        <v>1.19424E-4</v>
      </c>
      <c r="F4" s="3">
        <v>1.21289E-4</v>
      </c>
      <c r="G4" s="3">
        <v>1.4834599999999999E-4</v>
      </c>
      <c r="H4" s="3">
        <v>9.3300000000000005E-5</v>
      </c>
      <c r="I4" s="3">
        <v>9.2366000000000003E-5</v>
      </c>
      <c r="J4" s="3">
        <v>9.2367000000000005E-5</v>
      </c>
      <c r="K4" s="3">
        <v>9.2366000000000003E-5</v>
      </c>
    </row>
    <row r="5" spans="1:11" x14ac:dyDescent="0.25">
      <c r="A5" t="s">
        <v>7</v>
      </c>
      <c r="B5" s="3">
        <v>3.4334200000000001E-4</v>
      </c>
      <c r="C5" s="3">
        <v>2.7383399999999998E-4</v>
      </c>
      <c r="D5" s="3">
        <v>2.7476699999999998E-4</v>
      </c>
      <c r="E5" s="3">
        <v>2.8643000000000001E-4</v>
      </c>
      <c r="F5" s="3">
        <v>2.8036499999999998E-4</v>
      </c>
      <c r="G5" s="3">
        <v>2.7663399999999999E-4</v>
      </c>
      <c r="H5" s="3">
        <v>2.8363100000000001E-4</v>
      </c>
      <c r="I5" s="3">
        <v>2.743E-4</v>
      </c>
      <c r="J5" s="3">
        <v>2.7663299999999998E-4</v>
      </c>
      <c r="K5" s="3">
        <v>2.73367E-4</v>
      </c>
    </row>
    <row r="6" spans="1:11" x14ac:dyDescent="0.25">
      <c r="A6" t="s">
        <v>8</v>
      </c>
      <c r="B6" s="3">
        <v>1.72604E-4</v>
      </c>
      <c r="C6" s="3">
        <v>1.53478E-4</v>
      </c>
      <c r="D6" s="3">
        <v>1.53012E-4</v>
      </c>
      <c r="E6" s="3">
        <v>1.5814299999999999E-4</v>
      </c>
      <c r="F6" s="3">
        <v>1.53012E-4</v>
      </c>
      <c r="G6" s="3">
        <v>1.5114600000000001E-4</v>
      </c>
      <c r="H6" s="3">
        <v>1.50679E-4</v>
      </c>
      <c r="I6" s="3">
        <v>1.5114600000000001E-4</v>
      </c>
      <c r="J6" s="3">
        <v>1.5627699999999999E-4</v>
      </c>
      <c r="K6" s="3">
        <v>1.5067800000000001E-4</v>
      </c>
    </row>
    <row r="7" spans="1:11" x14ac:dyDescent="0.25">
      <c r="A7" t="s">
        <v>9</v>
      </c>
      <c r="B7" s="3">
        <v>1.02629E-4</v>
      </c>
      <c r="C7" s="3">
        <v>1.0542799999999999E-4</v>
      </c>
      <c r="D7" s="3">
        <v>1.1009400000000001E-4</v>
      </c>
      <c r="E7" s="3">
        <v>1.06828E-4</v>
      </c>
      <c r="F7" s="3">
        <v>8.6302000000000001E-5</v>
      </c>
      <c r="G7" s="3">
        <v>9.0033999999999999E-5</v>
      </c>
      <c r="H7" s="3">
        <v>8.4902999999999997E-5</v>
      </c>
      <c r="I7" s="3">
        <v>8.7235000000000001E-5</v>
      </c>
      <c r="J7" s="3">
        <v>8.6302000000000001E-5</v>
      </c>
      <c r="K7" s="3">
        <v>8.6302000000000001E-5</v>
      </c>
    </row>
    <row r="8" spans="1:11" x14ac:dyDescent="0.25">
      <c r="A8" t="s">
        <v>10</v>
      </c>
      <c r="B8" s="3">
        <v>1.6374099999999999E-4</v>
      </c>
      <c r="C8" s="3">
        <v>1.81934E-4</v>
      </c>
      <c r="D8" s="3">
        <v>1.6280799999999999E-4</v>
      </c>
      <c r="E8" s="3">
        <v>1.6094199999999999E-4</v>
      </c>
      <c r="F8" s="3">
        <v>1.5814299999999999E-4</v>
      </c>
      <c r="G8" s="3">
        <v>1.7306999999999999E-4</v>
      </c>
      <c r="H8" s="3">
        <v>1.6700600000000001E-4</v>
      </c>
      <c r="I8" s="3">
        <v>1.6840599999999999E-4</v>
      </c>
      <c r="J8" s="3">
        <v>1.65141E-4</v>
      </c>
      <c r="K8" s="3">
        <v>1.6327400000000001E-4</v>
      </c>
    </row>
    <row r="9" spans="1:11" x14ac:dyDescent="0.25">
      <c r="A9" t="s">
        <v>11</v>
      </c>
      <c r="B9" s="3">
        <v>2.5517399999999999E-4</v>
      </c>
      <c r="C9" s="3">
        <v>2.2811700000000001E-4</v>
      </c>
      <c r="D9" s="3">
        <v>2.27185E-4</v>
      </c>
      <c r="E9" s="3">
        <v>2.3091600000000001E-4</v>
      </c>
      <c r="F9" s="3">
        <v>2.2951699999999999E-4</v>
      </c>
      <c r="G9" s="3">
        <v>2.2485199999999999E-4</v>
      </c>
      <c r="H9" s="3">
        <v>2.24386E-4</v>
      </c>
      <c r="I9" s="3">
        <v>2.2485199999999999E-4</v>
      </c>
      <c r="J9" s="3">
        <v>2.3464800000000001E-4</v>
      </c>
      <c r="K9" s="3">
        <v>2.2578499999999999E-4</v>
      </c>
    </row>
    <row r="10" spans="1:11" x14ac:dyDescent="0.25">
      <c r="A10" t="s">
        <v>12</v>
      </c>
      <c r="B10" s="3">
        <v>8.9567999999999994E-5</v>
      </c>
      <c r="C10" s="3">
        <v>7.9771000000000006E-5</v>
      </c>
      <c r="D10" s="3">
        <v>8.2570000000000004E-5</v>
      </c>
      <c r="E10" s="3">
        <v>7.8372000000000001E-5</v>
      </c>
      <c r="F10" s="3">
        <v>7.8370999999999999E-5</v>
      </c>
      <c r="G10" s="3">
        <v>8.3036999999999998E-5</v>
      </c>
      <c r="H10" s="3">
        <v>8.2102999999999996E-5</v>
      </c>
      <c r="I10" s="3">
        <v>8.2103999999999999E-5</v>
      </c>
      <c r="J10" s="3">
        <v>9.5166000000000003E-5</v>
      </c>
      <c r="K10" s="3">
        <v>8.5835999999999996E-5</v>
      </c>
    </row>
    <row r="11" spans="1:11" x14ac:dyDescent="0.25">
      <c r="A11" t="s">
        <v>13</v>
      </c>
      <c r="B11" s="3">
        <v>2.16455E-4</v>
      </c>
      <c r="C11" s="3">
        <v>1.9919499999999999E-4</v>
      </c>
      <c r="D11" s="3">
        <v>1.9966100000000001E-4</v>
      </c>
      <c r="E11" s="3">
        <v>2.0152700000000001E-4</v>
      </c>
      <c r="F11" s="3">
        <v>1.9872800000000001E-4</v>
      </c>
      <c r="G11" s="3">
        <v>2.01993E-4</v>
      </c>
      <c r="H11" s="3">
        <v>1.9872800000000001E-4</v>
      </c>
      <c r="I11" s="3">
        <v>1.99194E-4</v>
      </c>
      <c r="J11" s="3">
        <v>1.9966100000000001E-4</v>
      </c>
      <c r="K11" s="3">
        <v>1.9826199999999999E-4</v>
      </c>
    </row>
    <row r="12" spans="1:11" x14ac:dyDescent="0.25">
      <c r="A12" t="s">
        <v>14</v>
      </c>
      <c r="B12" s="3">
        <v>3.5080700000000002E-4</v>
      </c>
      <c r="C12" s="3">
        <v>3.6853299999999999E-4</v>
      </c>
      <c r="D12" s="3">
        <v>3.5640500000000001E-4</v>
      </c>
      <c r="E12" s="3">
        <v>3.6713400000000003E-4</v>
      </c>
      <c r="F12" s="3">
        <v>3.7833000000000002E-4</v>
      </c>
      <c r="G12" s="3">
        <v>3.7273200000000002E-4</v>
      </c>
      <c r="H12" s="3">
        <v>3.8905899999999998E-4</v>
      </c>
      <c r="I12" s="3">
        <v>3.8999199999999998E-4</v>
      </c>
      <c r="J12" s="3">
        <v>3.6246899999999997E-4</v>
      </c>
      <c r="K12" s="3">
        <v>3.52672E-4</v>
      </c>
    </row>
    <row r="13" spans="1:11" x14ac:dyDescent="0.25">
      <c r="A13" t="s">
        <v>15</v>
      </c>
      <c r="B13" s="3">
        <v>9.8896999999999999E-5</v>
      </c>
      <c r="C13" s="3">
        <v>8.3969999999999997E-5</v>
      </c>
      <c r="D13" s="3">
        <v>8.8634999999999994E-5</v>
      </c>
      <c r="E13" s="3">
        <v>9.2832999999999997E-5</v>
      </c>
      <c r="F13" s="3">
        <v>9.1899999999999998E-5</v>
      </c>
      <c r="G13">
        <v>1.8995800000000001E-3</v>
      </c>
      <c r="H13" s="3">
        <v>1.04496E-4</v>
      </c>
      <c r="I13" s="3">
        <v>8.1637000000000005E-5</v>
      </c>
      <c r="J13" s="3">
        <v>8.7701000000000006E-5</v>
      </c>
      <c r="K13" s="3">
        <v>8.3036999999999998E-5</v>
      </c>
    </row>
    <row r="14" spans="1:11" x14ac:dyDescent="0.25">
      <c r="A14" t="s">
        <v>16</v>
      </c>
      <c r="B14" s="3">
        <v>1.31552E-4</v>
      </c>
      <c r="C14" s="3">
        <v>1.2455499999999999E-4</v>
      </c>
      <c r="D14" s="3">
        <v>1.24089E-4</v>
      </c>
      <c r="E14" s="3">
        <v>1.2408800000000001E-4</v>
      </c>
      <c r="F14" s="3">
        <v>1.2362199999999999E-4</v>
      </c>
      <c r="G14" s="3">
        <v>1.3528499999999999E-4</v>
      </c>
      <c r="H14" s="3">
        <v>1.2455499999999999E-4</v>
      </c>
      <c r="I14" s="3">
        <v>1.2502100000000001E-4</v>
      </c>
      <c r="J14" s="3">
        <v>1.24089E-4</v>
      </c>
      <c r="K14" s="3">
        <v>1.26888E-4</v>
      </c>
    </row>
    <row r="15" spans="1:11" x14ac:dyDescent="0.25">
      <c r="A15" t="s">
        <v>17</v>
      </c>
      <c r="B15" s="3">
        <v>2.8736300000000001E-4</v>
      </c>
      <c r="C15" s="3">
        <v>1.13359E-4</v>
      </c>
      <c r="D15" s="3">
        <v>1.0123E-4</v>
      </c>
      <c r="E15" s="3">
        <v>9.0500000000000004E-5</v>
      </c>
      <c r="F15" s="3">
        <v>6.9041999999999994E-5</v>
      </c>
      <c r="G15" s="3">
        <v>3.4054000000000003E-5</v>
      </c>
      <c r="H15" s="3">
        <v>2.5191E-5</v>
      </c>
      <c r="I15" s="3">
        <v>2.0992000000000002E-5</v>
      </c>
      <c r="J15" s="3">
        <v>2.0526E-5</v>
      </c>
      <c r="K15" s="3">
        <v>1.9593E-5</v>
      </c>
    </row>
    <row r="16" spans="1:11" x14ac:dyDescent="0.25">
      <c r="A16" t="s">
        <v>18</v>
      </c>
      <c r="B16" s="3">
        <v>3.2561599999999998E-4</v>
      </c>
      <c r="C16" s="3">
        <v>1.8939799999999999E-4</v>
      </c>
      <c r="D16" s="3">
        <v>1.50679E-4</v>
      </c>
      <c r="E16" s="3">
        <v>1.4694600000000001E-4</v>
      </c>
      <c r="F16" s="3">
        <v>1.6560699999999999E-4</v>
      </c>
      <c r="G16" s="3">
        <v>1.20357E-4</v>
      </c>
      <c r="H16" s="3">
        <v>1.1709099999999999E-4</v>
      </c>
      <c r="I16" s="3">
        <v>1.15225E-4</v>
      </c>
      <c r="J16" s="3">
        <v>1.2129E-4</v>
      </c>
      <c r="K16" s="3">
        <v>1.13359E-4</v>
      </c>
    </row>
    <row r="17" spans="1:11" x14ac:dyDescent="0.25">
      <c r="A17" t="s">
        <v>19</v>
      </c>
      <c r="B17" s="3">
        <v>1.9406299999999999E-4</v>
      </c>
      <c r="C17" s="3">
        <v>1.7726999999999999E-4</v>
      </c>
      <c r="D17" s="3">
        <v>2.8689699999999999E-4</v>
      </c>
      <c r="E17" s="3">
        <v>1.6653999999999999E-4</v>
      </c>
      <c r="F17" s="3">
        <v>1.6140800000000001E-4</v>
      </c>
      <c r="G17" s="3">
        <v>1.36217E-4</v>
      </c>
      <c r="H17" s="3">
        <v>1.46947E-4</v>
      </c>
      <c r="I17" s="3">
        <v>1.46947E-4</v>
      </c>
      <c r="J17" s="3">
        <v>1.3715E-4</v>
      </c>
      <c r="K17" s="3">
        <v>1.3528499999999999E-4</v>
      </c>
    </row>
    <row r="18" spans="1:11" x14ac:dyDescent="0.25">
      <c r="A18" t="s">
        <v>20</v>
      </c>
      <c r="B18" s="3">
        <v>2.64505E-4</v>
      </c>
      <c r="C18" s="3">
        <v>2.4724399999999998E-4</v>
      </c>
      <c r="D18" s="3">
        <v>2.43045E-4</v>
      </c>
      <c r="E18" s="3">
        <v>2.5517399999999999E-4</v>
      </c>
      <c r="F18" s="3">
        <v>2.4910999999999998E-4</v>
      </c>
      <c r="G18" s="3">
        <v>2.4724399999999998E-4</v>
      </c>
      <c r="H18" s="3">
        <v>2.42112E-4</v>
      </c>
      <c r="I18" s="3">
        <v>2.44911E-4</v>
      </c>
      <c r="J18" s="3">
        <v>2.3884700000000001E-4</v>
      </c>
      <c r="K18" s="3">
        <v>2.3978000000000001E-4</v>
      </c>
    </row>
    <row r="19" spans="1:11" x14ac:dyDescent="0.25">
      <c r="A19" t="s">
        <v>21</v>
      </c>
      <c r="B19" s="3">
        <v>1.7773600000000001E-4</v>
      </c>
      <c r="C19" s="3">
        <v>1.60476E-4</v>
      </c>
      <c r="D19" s="3">
        <v>1.5720999999999999E-4</v>
      </c>
      <c r="E19" s="3">
        <v>1.82867E-4</v>
      </c>
      <c r="F19" s="3">
        <v>1.7493700000000001E-4</v>
      </c>
      <c r="G19" s="3">
        <v>1.75403E-4</v>
      </c>
      <c r="H19" s="3">
        <v>1.5487699999999999E-4</v>
      </c>
      <c r="I19" s="3">
        <v>1.63275E-4</v>
      </c>
      <c r="J19" s="3">
        <v>1.5254400000000001E-4</v>
      </c>
      <c r="K19" s="3">
        <v>1.5767600000000001E-4</v>
      </c>
    </row>
    <row r="20" spans="1:11" x14ac:dyDescent="0.25">
      <c r="A20" t="s">
        <v>22</v>
      </c>
      <c r="B20" s="3">
        <v>3.4660799999999999E-4</v>
      </c>
      <c r="C20" s="3">
        <v>3.2468299999999998E-4</v>
      </c>
      <c r="D20" s="3">
        <v>3.3121399999999998E-4</v>
      </c>
      <c r="E20" s="3">
        <v>3.28881E-4</v>
      </c>
      <c r="F20" s="3">
        <v>3.48007E-4</v>
      </c>
      <c r="G20" s="3">
        <v>3.4241000000000002E-4</v>
      </c>
      <c r="H20" s="3">
        <v>3.3307999999999998E-4</v>
      </c>
      <c r="I20" s="3">
        <v>3.32613E-4</v>
      </c>
      <c r="J20" s="3">
        <v>3.2374999999999998E-4</v>
      </c>
      <c r="K20" s="3">
        <v>3.3307999999999998E-4</v>
      </c>
    </row>
    <row r="21" spans="1:11" x14ac:dyDescent="0.25">
      <c r="A21" t="s">
        <v>23</v>
      </c>
      <c r="B21" s="3">
        <v>1.54411E-4</v>
      </c>
      <c r="C21" s="3">
        <v>1.3481800000000001E-4</v>
      </c>
      <c r="D21" s="3">
        <v>2.42112E-4</v>
      </c>
      <c r="E21" s="3">
        <v>2.41179E-4</v>
      </c>
      <c r="F21" s="3">
        <v>2.2858399999999999E-4</v>
      </c>
      <c r="G21" s="3">
        <v>1.53012E-4</v>
      </c>
      <c r="H21" s="3">
        <v>1.42748E-4</v>
      </c>
      <c r="I21" s="3">
        <v>1.4647999999999999E-4</v>
      </c>
      <c r="J21" s="3">
        <v>1.3948199999999999E-4</v>
      </c>
      <c r="K21" s="3">
        <v>1.3901699999999999E-4</v>
      </c>
    </row>
    <row r="22" spans="1:11" x14ac:dyDescent="0.25">
      <c r="A22" t="s">
        <v>24</v>
      </c>
      <c r="B22" s="3">
        <v>3.4987000000000002E-5</v>
      </c>
      <c r="C22" s="3">
        <v>1.3995000000000001E-5</v>
      </c>
      <c r="D22" s="3">
        <v>1.3528E-5</v>
      </c>
      <c r="E22" s="3">
        <v>1.9592000000000001E-5</v>
      </c>
      <c r="F22" s="3">
        <v>2.1458999999999999E-5</v>
      </c>
      <c r="G22" s="3">
        <v>3.1721999999999999E-5</v>
      </c>
      <c r="H22" s="3">
        <v>1.5860999999999999E-5</v>
      </c>
      <c r="I22" s="3">
        <v>1.3995000000000001E-5</v>
      </c>
      <c r="J22" s="3">
        <v>1.5860999999999999E-5</v>
      </c>
      <c r="K22" s="3">
        <v>1.4928E-5</v>
      </c>
    </row>
    <row r="24" spans="1:11" x14ac:dyDescent="0.25">
      <c r="A24" t="s">
        <v>3</v>
      </c>
      <c r="B24" s="3">
        <v>4.6650000000000002E-6</v>
      </c>
      <c r="C24" s="3">
        <v>1.3528E-5</v>
      </c>
      <c r="D24" s="3">
        <v>7.9310000000000008E-6</v>
      </c>
      <c r="E24" s="3">
        <v>4.1989999999999999E-6</v>
      </c>
      <c r="F24" s="3">
        <v>4.6650000000000002E-6</v>
      </c>
      <c r="G24" s="3">
        <v>4.6650000000000002E-6</v>
      </c>
      <c r="H24" s="3">
        <v>3.732E-6</v>
      </c>
      <c r="I24" s="3">
        <v>4.1989999999999999E-6</v>
      </c>
      <c r="J24" s="3">
        <v>4.1989999999999999E-6</v>
      </c>
      <c r="K24" s="3">
        <v>4.1980000000000003E-6</v>
      </c>
    </row>
    <row r="25" spans="1:11" x14ac:dyDescent="0.25">
      <c r="A25" t="s">
        <v>4</v>
      </c>
      <c r="B25" s="3">
        <v>8.3969999999999994E-6</v>
      </c>
      <c r="C25" s="3">
        <v>5.5979999999999996E-6</v>
      </c>
      <c r="D25" s="3">
        <v>5.5979999999999996E-6</v>
      </c>
      <c r="E25" s="3">
        <v>5.1309999999999997E-6</v>
      </c>
      <c r="F25" s="3">
        <v>5.5979999999999996E-6</v>
      </c>
      <c r="G25" s="3">
        <v>5.5979999999999996E-6</v>
      </c>
      <c r="H25" s="3">
        <v>5.1309999999999997E-6</v>
      </c>
      <c r="I25" s="3">
        <v>6.5309999999999998E-6</v>
      </c>
      <c r="J25" s="3">
        <v>5.5979999999999996E-6</v>
      </c>
      <c r="K25" s="3">
        <v>5.5979999999999996E-6</v>
      </c>
    </row>
    <row r="26" spans="1:11" x14ac:dyDescent="0.25">
      <c r="A26" t="s">
        <v>5</v>
      </c>
      <c r="B26" s="3">
        <v>1.1195999999999999E-5</v>
      </c>
      <c r="C26" s="3">
        <v>1.0729E-5</v>
      </c>
      <c r="D26" s="3">
        <v>1.1195999999999999E-5</v>
      </c>
      <c r="E26" s="3">
        <v>1.1195999999999999E-5</v>
      </c>
      <c r="F26" s="3">
        <v>1.1195999999999999E-5</v>
      </c>
      <c r="G26" s="3">
        <v>1.2129E-5</v>
      </c>
      <c r="H26" s="3">
        <v>1.1663E-5</v>
      </c>
      <c r="I26" s="3">
        <v>1.3529E-5</v>
      </c>
      <c r="J26" s="3">
        <v>1.3062E-5</v>
      </c>
      <c r="K26" s="3">
        <v>1.3062E-5</v>
      </c>
    </row>
    <row r="27" spans="1:11" x14ac:dyDescent="0.25">
      <c r="A27" t="s">
        <v>6</v>
      </c>
      <c r="B27" s="3">
        <v>1.7261E-5</v>
      </c>
      <c r="C27" s="3">
        <v>1.2595000000000001E-5</v>
      </c>
      <c r="D27" s="3">
        <v>1.1661999999999999E-5</v>
      </c>
      <c r="E27" s="3">
        <v>1.1663E-5</v>
      </c>
      <c r="F27" s="3">
        <v>1.1195999999999999E-5</v>
      </c>
      <c r="G27" s="3">
        <v>1.0263E-5</v>
      </c>
      <c r="H27" s="3">
        <v>1.0263E-5</v>
      </c>
      <c r="I27" s="3">
        <v>9.7969999999999995E-6</v>
      </c>
      <c r="J27" s="3">
        <v>1.4460999999999999E-5</v>
      </c>
      <c r="K27" s="3">
        <v>9.7969999999999995E-6</v>
      </c>
    </row>
    <row r="28" spans="1:11" x14ac:dyDescent="0.25">
      <c r="A28" t="s">
        <v>7</v>
      </c>
      <c r="B28" s="3">
        <v>4.3384999999999999E-5</v>
      </c>
      <c r="C28" s="3">
        <v>3.6387000000000002E-5</v>
      </c>
      <c r="D28" s="3">
        <v>3.4987000000000002E-5</v>
      </c>
      <c r="E28" s="3">
        <v>3.7787000000000003E-5</v>
      </c>
      <c r="F28" s="3">
        <v>3.8719E-5</v>
      </c>
      <c r="G28" s="3">
        <v>3.6854000000000003E-5</v>
      </c>
      <c r="H28" s="3">
        <v>3.6854000000000003E-5</v>
      </c>
      <c r="I28" s="3">
        <v>3.9186000000000001E-5</v>
      </c>
      <c r="J28" s="3">
        <v>3.2187999999999997E-5</v>
      </c>
      <c r="K28" s="3">
        <v>3.1256E-5</v>
      </c>
    </row>
    <row r="29" spans="1:11" x14ac:dyDescent="0.25">
      <c r="A29" t="s">
        <v>8</v>
      </c>
      <c r="B29" s="3">
        <v>2.5191E-5</v>
      </c>
      <c r="C29" s="3">
        <v>1.9593E-5</v>
      </c>
      <c r="D29" s="3">
        <v>1.7727000000000002E-5</v>
      </c>
      <c r="E29" s="3">
        <v>1.8660000000000001E-5</v>
      </c>
      <c r="F29" s="3">
        <v>1.8193999999999999E-5</v>
      </c>
      <c r="G29" s="3">
        <v>1.8660000000000001E-5</v>
      </c>
      <c r="H29" s="3">
        <v>1.8193E-5</v>
      </c>
      <c r="I29" s="3">
        <v>1.8193999999999999E-5</v>
      </c>
      <c r="J29" s="3">
        <v>1.8660000000000001E-5</v>
      </c>
      <c r="K29" s="3">
        <v>1.5395000000000001E-5</v>
      </c>
    </row>
    <row r="30" spans="1:11" x14ac:dyDescent="0.25">
      <c r="A30" t="s">
        <v>9</v>
      </c>
      <c r="B30" s="3">
        <v>1.1663E-5</v>
      </c>
      <c r="C30" s="3">
        <v>9.3300000000000005E-6</v>
      </c>
      <c r="D30" s="3">
        <v>1.3529E-5</v>
      </c>
      <c r="E30" s="3">
        <v>8.3969999999999994E-6</v>
      </c>
      <c r="F30" s="3">
        <v>1.0730000000000001E-5</v>
      </c>
      <c r="G30" s="3">
        <v>9.3300000000000005E-6</v>
      </c>
      <c r="H30" s="3">
        <v>1.1195999999999999E-5</v>
      </c>
      <c r="I30" s="3">
        <v>1.1195999999999999E-5</v>
      </c>
      <c r="J30" s="3">
        <v>1.1195999999999999E-5</v>
      </c>
      <c r="K30" s="3">
        <v>1.0730000000000001E-5</v>
      </c>
    </row>
    <row r="31" spans="1:11" x14ac:dyDescent="0.25">
      <c r="A31" t="s">
        <v>10</v>
      </c>
      <c r="B31" s="3">
        <v>1.7727000000000002E-5</v>
      </c>
      <c r="C31" s="3">
        <v>1.6327000000000001E-5</v>
      </c>
      <c r="D31" s="3">
        <v>1.5860999999999999E-5</v>
      </c>
      <c r="E31" s="3">
        <v>1.5860999999999999E-5</v>
      </c>
      <c r="F31" s="3">
        <v>1.4460999999999999E-5</v>
      </c>
      <c r="G31" s="3">
        <v>1.4460999999999999E-5</v>
      </c>
      <c r="H31" s="3">
        <v>1.4928E-5</v>
      </c>
      <c r="I31" s="3">
        <v>1.6793999999999999E-5</v>
      </c>
      <c r="J31" s="3">
        <v>1.8193999999999999E-5</v>
      </c>
      <c r="K31" s="3">
        <v>2.3791E-5</v>
      </c>
    </row>
    <row r="32" spans="1:11" x14ac:dyDescent="0.25">
      <c r="A32" t="s">
        <v>11</v>
      </c>
      <c r="B32" s="3">
        <v>2.5656999999999998E-5</v>
      </c>
      <c r="C32" s="3">
        <v>2.2858E-5</v>
      </c>
      <c r="D32" s="3">
        <v>2.6591E-5</v>
      </c>
      <c r="E32" s="3">
        <v>2.1925000000000001E-5</v>
      </c>
      <c r="F32" s="3">
        <v>2.1925000000000001E-5</v>
      </c>
      <c r="G32" s="3">
        <v>2.1925000000000001E-5</v>
      </c>
      <c r="H32" s="3">
        <v>2.1926E-5</v>
      </c>
      <c r="I32" s="3">
        <v>2.1925000000000001E-5</v>
      </c>
      <c r="J32" s="3">
        <v>2.1925000000000001E-5</v>
      </c>
      <c r="K32" s="3">
        <v>2.1458999999999999E-5</v>
      </c>
    </row>
    <row r="33" spans="1:11" x14ac:dyDescent="0.25">
      <c r="A33" t="s">
        <v>12</v>
      </c>
      <c r="B33" s="3">
        <v>7.9300000000000003E-6</v>
      </c>
      <c r="C33" s="3">
        <v>7.9310000000000008E-6</v>
      </c>
      <c r="D33" s="3">
        <v>9.3300000000000005E-6</v>
      </c>
      <c r="E33" s="3">
        <v>1.7260000000000001E-5</v>
      </c>
      <c r="F33" s="3">
        <v>7.9310000000000008E-6</v>
      </c>
      <c r="G33" s="3">
        <v>7.9310000000000008E-6</v>
      </c>
      <c r="H33" s="3">
        <v>7.464E-6</v>
      </c>
      <c r="I33" s="3">
        <v>1.1195999999999999E-5</v>
      </c>
      <c r="J33" s="3">
        <v>7.9310000000000008E-6</v>
      </c>
      <c r="K33" s="3">
        <v>7.464E-6</v>
      </c>
    </row>
    <row r="34" spans="1:11" x14ac:dyDescent="0.25">
      <c r="A34" t="s">
        <v>13</v>
      </c>
      <c r="B34" s="3">
        <v>2.2391999999999998E-5</v>
      </c>
      <c r="C34" s="3">
        <v>2.3325000000000001E-5</v>
      </c>
      <c r="D34" s="3">
        <v>2.0526E-5</v>
      </c>
      <c r="E34" s="3">
        <v>2.1926E-5</v>
      </c>
      <c r="F34" s="3">
        <v>2.0058999999999999E-5</v>
      </c>
      <c r="G34" s="3">
        <v>1.9593E-5</v>
      </c>
      <c r="H34" s="3">
        <v>1.8193E-5</v>
      </c>
      <c r="I34" s="3">
        <v>2.0058999999999999E-5</v>
      </c>
      <c r="J34" s="3">
        <v>2.0060000000000001E-5</v>
      </c>
      <c r="K34" s="3">
        <v>1.9593E-5</v>
      </c>
    </row>
    <row r="35" spans="1:11" x14ac:dyDescent="0.25">
      <c r="A35" t="s">
        <v>14</v>
      </c>
      <c r="B35" s="3">
        <v>4.4317999999999998E-5</v>
      </c>
      <c r="C35" s="3">
        <v>3.2654000000000003E-5</v>
      </c>
      <c r="D35" s="3">
        <v>3.9186000000000001E-5</v>
      </c>
      <c r="E35" s="3">
        <v>3.4054000000000003E-5</v>
      </c>
      <c r="F35" s="3">
        <v>3.3121999999999999E-5</v>
      </c>
      <c r="G35" s="3">
        <v>3.3120999999999997E-5</v>
      </c>
      <c r="H35" s="3">
        <v>3.3120999999999997E-5</v>
      </c>
      <c r="I35" s="3">
        <v>3.4520999999999997E-5</v>
      </c>
      <c r="J35" s="3">
        <v>3.4054999999999998E-5</v>
      </c>
      <c r="K35" s="3">
        <v>3.4054000000000003E-5</v>
      </c>
    </row>
    <row r="36" spans="1:11" x14ac:dyDescent="0.25">
      <c r="A36" t="s">
        <v>15</v>
      </c>
      <c r="B36" s="3">
        <v>1.1661999999999999E-5</v>
      </c>
      <c r="C36" s="3">
        <v>9.7960000000000007E-6</v>
      </c>
      <c r="D36" s="3">
        <v>1.6327000000000001E-5</v>
      </c>
      <c r="E36" s="3">
        <v>1.4927E-5</v>
      </c>
      <c r="F36" s="3">
        <v>1.3062E-5</v>
      </c>
      <c r="G36" s="3">
        <v>1.2129E-5</v>
      </c>
      <c r="H36" s="3">
        <v>1.1195999999999999E-5</v>
      </c>
      <c r="I36" s="3">
        <v>1.0263E-5</v>
      </c>
      <c r="J36" s="3">
        <v>1.0263E-5</v>
      </c>
      <c r="K36" s="3">
        <v>1.0263E-5</v>
      </c>
    </row>
    <row r="37" spans="1:11" x14ac:dyDescent="0.25">
      <c r="A37" t="s">
        <v>16</v>
      </c>
      <c r="B37" s="3">
        <v>1.6793999999999999E-5</v>
      </c>
      <c r="C37" s="3">
        <v>1.3995000000000001E-5</v>
      </c>
      <c r="D37" s="3">
        <v>1.3995000000000001E-5</v>
      </c>
      <c r="E37" s="3">
        <v>1.5393999999999999E-5</v>
      </c>
      <c r="F37" s="3">
        <v>1.5393999999999999E-5</v>
      </c>
      <c r="G37" s="3">
        <v>1.5393999999999999E-5</v>
      </c>
      <c r="H37" s="3">
        <v>1.6327000000000001E-5</v>
      </c>
      <c r="I37" s="3">
        <v>1.6793999999999999E-5</v>
      </c>
      <c r="J37" s="3">
        <v>1.3528E-5</v>
      </c>
      <c r="K37" s="3">
        <v>1.3529E-5</v>
      </c>
    </row>
    <row r="38" spans="1:11" x14ac:dyDescent="0.25">
      <c r="A38" t="s">
        <v>17</v>
      </c>
      <c r="B38" s="3">
        <v>9.33E-7</v>
      </c>
      <c r="C38" s="3">
        <v>1.3990000000000001E-6</v>
      </c>
      <c r="D38" s="3">
        <v>1.3990000000000001E-6</v>
      </c>
      <c r="E38" s="3">
        <v>9.33E-7</v>
      </c>
      <c r="F38" s="3">
        <v>9.33E-7</v>
      </c>
      <c r="G38" s="3">
        <v>1.3990000000000001E-6</v>
      </c>
      <c r="H38" s="3">
        <v>9.33E-7</v>
      </c>
      <c r="I38" s="3">
        <v>9.33E-7</v>
      </c>
      <c r="J38" s="3">
        <v>2.3329999999999999E-6</v>
      </c>
      <c r="K38" s="3">
        <v>1.3999999999999999E-6</v>
      </c>
    </row>
    <row r="39" spans="1:11" x14ac:dyDescent="0.25">
      <c r="A39" t="s">
        <v>18</v>
      </c>
      <c r="B39" s="3">
        <v>1.3062E-5</v>
      </c>
      <c r="C39" s="3">
        <v>1.3062E-5</v>
      </c>
      <c r="D39" s="3">
        <v>1.2129E-5</v>
      </c>
      <c r="E39" s="3">
        <v>9.7960000000000007E-6</v>
      </c>
      <c r="F39" s="3">
        <v>1.0263E-5</v>
      </c>
      <c r="G39" s="3">
        <v>1.0263E-5</v>
      </c>
      <c r="H39" s="3">
        <v>1.5393999999999999E-5</v>
      </c>
      <c r="I39" s="3">
        <v>1.0263E-5</v>
      </c>
      <c r="J39" s="3">
        <v>9.7960000000000007E-6</v>
      </c>
      <c r="K39" s="3">
        <v>9.3300000000000005E-6</v>
      </c>
    </row>
    <row r="40" spans="1:11" x14ac:dyDescent="0.25">
      <c r="A40" t="s">
        <v>19</v>
      </c>
      <c r="B40" s="3">
        <v>1.6793999999999999E-5</v>
      </c>
      <c r="C40" s="3">
        <v>1.6328E-5</v>
      </c>
      <c r="D40" s="3">
        <v>1.8193E-5</v>
      </c>
      <c r="E40" s="3">
        <v>1.4928E-5</v>
      </c>
      <c r="F40" s="3">
        <v>1.3994E-5</v>
      </c>
      <c r="G40" s="3">
        <v>1.5393999999999999E-5</v>
      </c>
      <c r="H40" s="3">
        <v>1.5395000000000001E-5</v>
      </c>
      <c r="I40" s="3">
        <v>1.5860999999999999E-5</v>
      </c>
      <c r="J40" s="3">
        <v>1.5393999999999999E-5</v>
      </c>
      <c r="K40" s="3">
        <v>1.5393999999999999E-5</v>
      </c>
    </row>
    <row r="41" spans="1:11" x14ac:dyDescent="0.25">
      <c r="A41" t="s">
        <v>20</v>
      </c>
      <c r="B41" s="3">
        <v>2.8923000000000001E-5</v>
      </c>
      <c r="C41" s="3">
        <v>2.3325000000000001E-5</v>
      </c>
      <c r="D41" s="3">
        <v>2.7523000000000001E-5</v>
      </c>
      <c r="E41" s="3">
        <v>2.9388999999999999E-5</v>
      </c>
      <c r="F41" s="3">
        <v>2.4725000000000001E-5</v>
      </c>
      <c r="G41" s="3">
        <v>2.4723999999999999E-5</v>
      </c>
      <c r="H41" s="3">
        <v>2.4725000000000001E-5</v>
      </c>
      <c r="I41" s="3">
        <v>2.4258000000000001E-5</v>
      </c>
      <c r="J41" s="3">
        <v>2.4725000000000001E-5</v>
      </c>
      <c r="K41" s="3">
        <v>2.5658000000000001E-5</v>
      </c>
    </row>
    <row r="42" spans="1:11" x14ac:dyDescent="0.25">
      <c r="A42" t="s">
        <v>21</v>
      </c>
      <c r="B42" s="3">
        <v>2.0526E-5</v>
      </c>
      <c r="C42" s="3">
        <v>1.7727000000000002E-5</v>
      </c>
      <c r="D42" s="3">
        <v>1.7727000000000002E-5</v>
      </c>
      <c r="E42" s="3">
        <v>1.8660000000000001E-5</v>
      </c>
      <c r="F42" s="3">
        <v>1.5395000000000001E-5</v>
      </c>
      <c r="G42" s="3">
        <v>2.1926E-5</v>
      </c>
      <c r="H42" s="3">
        <v>1.7261E-5</v>
      </c>
      <c r="I42" s="3">
        <v>1.5860999999999999E-5</v>
      </c>
      <c r="J42" s="3">
        <v>1.6327000000000001E-5</v>
      </c>
      <c r="K42" s="3">
        <v>1.7260000000000001E-5</v>
      </c>
    </row>
    <row r="43" spans="1:11" x14ac:dyDescent="0.25">
      <c r="A43" t="s">
        <v>22</v>
      </c>
      <c r="B43" s="3">
        <v>4.2917999999999998E-5</v>
      </c>
      <c r="C43" s="3">
        <v>4.2451999999999999E-5</v>
      </c>
      <c r="D43" s="3">
        <v>4.0119E-5</v>
      </c>
      <c r="E43" s="3">
        <v>3.7320000000000002E-5</v>
      </c>
      <c r="F43" s="3">
        <v>3.7319E-5</v>
      </c>
      <c r="G43" s="3">
        <v>4.4783999999999997E-5</v>
      </c>
      <c r="H43" s="3">
        <v>3.4520999999999997E-5</v>
      </c>
      <c r="I43" s="3">
        <v>3.4054999999999998E-5</v>
      </c>
      <c r="J43" s="3">
        <v>3.4054000000000003E-5</v>
      </c>
      <c r="K43" s="3">
        <v>3.4054999999999998E-5</v>
      </c>
    </row>
    <row r="44" spans="1:11" x14ac:dyDescent="0.25">
      <c r="A44" t="s">
        <v>23</v>
      </c>
      <c r="B44" s="3">
        <v>1.6328E-5</v>
      </c>
      <c r="C44" s="3">
        <v>1.6793999999999999E-5</v>
      </c>
      <c r="D44" s="3">
        <v>2.0060000000000001E-5</v>
      </c>
      <c r="E44" s="3">
        <v>1.4462E-5</v>
      </c>
      <c r="F44" s="3">
        <v>1.4462E-5</v>
      </c>
      <c r="G44" s="3">
        <v>1.4460999999999999E-5</v>
      </c>
      <c r="H44" s="3">
        <v>2.1926E-5</v>
      </c>
      <c r="I44" s="3">
        <v>1.3995000000000001E-5</v>
      </c>
      <c r="J44" s="3">
        <v>1.3995000000000001E-5</v>
      </c>
      <c r="K44" s="3">
        <v>1.3995000000000001E-5</v>
      </c>
    </row>
    <row r="45" spans="1:11" x14ac:dyDescent="0.25">
      <c r="A45" t="s">
        <v>24</v>
      </c>
      <c r="B45" s="3">
        <v>9.33E-7</v>
      </c>
      <c r="C45" s="3">
        <v>9.33E-7</v>
      </c>
      <c r="D45" s="3">
        <v>9.33E-7</v>
      </c>
      <c r="E45" s="3">
        <v>9.33E-7</v>
      </c>
      <c r="F45" s="3">
        <v>1.3990000000000001E-6</v>
      </c>
      <c r="G45" s="3">
        <v>1.3990000000000001E-6</v>
      </c>
      <c r="H45" s="3">
        <v>9.33E-7</v>
      </c>
      <c r="I45" s="3">
        <v>9.33E-7</v>
      </c>
      <c r="J45" s="3">
        <v>9.33E-7</v>
      </c>
      <c r="K45" s="3">
        <v>1.3990000000000001E-6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workbookViewId="0"/>
  </sheetViews>
  <sheetFormatPr defaultRowHeight="15" x14ac:dyDescent="0.25"/>
  <cols>
    <col min="1" max="1" width="8.5703125" bestFit="1" customWidth="1"/>
    <col min="2" max="11" width="8.28515625" bestFit="1" customWidth="1"/>
  </cols>
  <sheetData>
    <row r="1" spans="1:11" x14ac:dyDescent="0.25">
      <c r="A1" t="s">
        <v>3</v>
      </c>
      <c r="B1" s="3">
        <v>1.01697E-4</v>
      </c>
      <c r="C1" s="3">
        <v>6.9041999999999994E-5</v>
      </c>
      <c r="D1" s="3">
        <v>5.8777999999999999E-5</v>
      </c>
      <c r="E1" s="3">
        <v>7.6038999999999995E-5</v>
      </c>
      <c r="F1" s="3">
        <v>7.5105999999999995E-5</v>
      </c>
      <c r="G1" s="3">
        <v>7.3707000000000004E-5</v>
      </c>
      <c r="H1" s="3">
        <v>7.2774000000000005E-5</v>
      </c>
      <c r="I1" s="3">
        <v>6.4844000000000005E-5</v>
      </c>
      <c r="J1" s="3">
        <v>6.7175000000000007E-5</v>
      </c>
      <c r="K1" s="3">
        <v>6.8108000000000006E-5</v>
      </c>
    </row>
    <row r="2" spans="1:11" x14ac:dyDescent="0.25">
      <c r="A2" t="s">
        <v>4</v>
      </c>
      <c r="B2" s="3">
        <v>1.0449499999999999E-4</v>
      </c>
      <c r="C2" s="3">
        <v>9.5631999999999995E-5</v>
      </c>
      <c r="D2" s="3">
        <v>8.3036999999999998E-5</v>
      </c>
      <c r="E2" s="3">
        <v>1.05895E-4</v>
      </c>
      <c r="F2" s="3">
        <v>8.6768999999999995E-5</v>
      </c>
      <c r="G2" s="3">
        <v>1.06828E-4</v>
      </c>
      <c r="H2" s="3">
        <v>1.04962E-4</v>
      </c>
      <c r="I2" s="3">
        <v>9.4698999999999996E-5</v>
      </c>
      <c r="J2" s="3">
        <v>8.9101E-5</v>
      </c>
      <c r="K2" s="3">
        <v>8.8168E-5</v>
      </c>
    </row>
    <row r="3" spans="1:11" x14ac:dyDescent="0.25">
      <c r="A3" t="s">
        <v>5</v>
      </c>
      <c r="B3" s="3">
        <v>1.3015300000000001E-4</v>
      </c>
      <c r="C3" s="3">
        <v>1.2875399999999999E-4</v>
      </c>
      <c r="D3" s="3">
        <v>1.09627E-4</v>
      </c>
      <c r="E3" s="3">
        <v>1.32485E-4</v>
      </c>
      <c r="F3" s="3">
        <v>6.7642000000000001E-5</v>
      </c>
      <c r="G3" s="3">
        <v>6.8108999999999995E-5</v>
      </c>
      <c r="H3" s="3">
        <v>6.2978000000000006E-5</v>
      </c>
      <c r="I3" s="3">
        <v>6.4376999999999997E-5</v>
      </c>
      <c r="J3" s="3">
        <v>6.5776000000000002E-5</v>
      </c>
      <c r="K3" s="3">
        <v>6.1577999999999999E-5</v>
      </c>
    </row>
    <row r="4" spans="1:11" x14ac:dyDescent="0.25">
      <c r="A4" t="s">
        <v>6</v>
      </c>
      <c r="B4" s="3">
        <v>1.3201900000000001E-4</v>
      </c>
      <c r="C4" s="3">
        <v>1.2362199999999999E-4</v>
      </c>
      <c r="D4" s="3">
        <v>1.2922000000000001E-4</v>
      </c>
      <c r="E4" s="3">
        <v>8.8168E-5</v>
      </c>
      <c r="F4" s="3">
        <v>7.4172999999999996E-5</v>
      </c>
      <c r="G4" s="3">
        <v>7.8372000000000001E-5</v>
      </c>
      <c r="H4" s="3">
        <v>7.7904999999999994E-5</v>
      </c>
      <c r="I4" s="3">
        <v>7.4172999999999996E-5</v>
      </c>
      <c r="J4" s="3">
        <v>7.6971999999999994E-5</v>
      </c>
      <c r="K4" s="3">
        <v>7.5573000000000003E-5</v>
      </c>
    </row>
    <row r="5" spans="1:11" x14ac:dyDescent="0.25">
      <c r="A5" t="s">
        <v>7</v>
      </c>
      <c r="B5" s="3">
        <v>1.07761E-4</v>
      </c>
      <c r="C5" s="3">
        <v>9.1434000000000006E-5</v>
      </c>
      <c r="D5" s="3">
        <v>8.5369000000000002E-5</v>
      </c>
      <c r="E5" s="3">
        <v>9.0033999999999999E-5</v>
      </c>
      <c r="F5" s="3">
        <v>8.5369000000000002E-5</v>
      </c>
      <c r="G5" s="3">
        <v>8.6302000000000001E-5</v>
      </c>
      <c r="H5" s="3">
        <v>8.8634000000000006E-5</v>
      </c>
      <c r="I5" s="3">
        <v>8.7701999999999995E-5</v>
      </c>
      <c r="J5" s="3">
        <v>8.8168E-5</v>
      </c>
      <c r="K5" s="3">
        <v>8.5369000000000002E-5</v>
      </c>
    </row>
    <row r="6" spans="1:11" x14ac:dyDescent="0.25">
      <c r="A6" t="s">
        <v>8</v>
      </c>
      <c r="B6" s="3">
        <v>2.0899100000000001E-4</v>
      </c>
      <c r="C6" s="3">
        <v>1.1849E-4</v>
      </c>
      <c r="D6" s="3">
        <v>1.0123E-4</v>
      </c>
      <c r="E6" s="3">
        <v>9.8898000000000001E-5</v>
      </c>
      <c r="F6" s="3">
        <v>9.8896999999999999E-5</v>
      </c>
      <c r="G6" s="3">
        <v>9.8431000000000007E-5</v>
      </c>
      <c r="H6" s="3">
        <v>1.01696E-4</v>
      </c>
      <c r="I6" s="3">
        <v>9.7032000000000002E-5</v>
      </c>
      <c r="J6" s="3">
        <v>9.7497999999999994E-5</v>
      </c>
      <c r="K6" s="3">
        <v>9.7963999999999999E-5</v>
      </c>
    </row>
    <row r="7" spans="1:11" x14ac:dyDescent="0.25">
      <c r="A7" t="s">
        <v>9</v>
      </c>
      <c r="B7" s="3">
        <v>1.1802399999999999E-4</v>
      </c>
      <c r="C7" s="3">
        <v>1.1802399999999999E-4</v>
      </c>
      <c r="D7" s="3">
        <v>1.11493E-4</v>
      </c>
      <c r="E7" s="3">
        <v>1.2129E-4</v>
      </c>
      <c r="F7" s="3">
        <v>1.11493E-4</v>
      </c>
      <c r="G7" s="3">
        <v>1.1009400000000001E-4</v>
      </c>
      <c r="H7" s="3">
        <v>1.0916000000000001E-4</v>
      </c>
      <c r="I7" s="3">
        <v>1.15691E-4</v>
      </c>
      <c r="J7" s="3">
        <v>1.1709099999999999E-4</v>
      </c>
      <c r="K7" s="3">
        <v>1.22223E-4</v>
      </c>
    </row>
    <row r="8" spans="1:11" x14ac:dyDescent="0.25">
      <c r="A8" t="s">
        <v>10</v>
      </c>
      <c r="B8" s="3">
        <v>1.41349E-4</v>
      </c>
      <c r="C8" s="3">
        <v>1.2268899999999999E-4</v>
      </c>
      <c r="D8" s="3">
        <v>1.23156E-4</v>
      </c>
      <c r="E8" s="3">
        <v>1.2735399999999999E-4</v>
      </c>
      <c r="F8" s="3">
        <v>1.2082300000000001E-4</v>
      </c>
      <c r="G8" s="3">
        <v>1.20357E-4</v>
      </c>
      <c r="H8" s="3">
        <v>1.25022E-4</v>
      </c>
      <c r="I8" s="3">
        <v>1.21756E-4</v>
      </c>
      <c r="J8" s="3">
        <v>1.2922000000000001E-4</v>
      </c>
      <c r="K8" s="3">
        <v>1.1989000000000001E-4</v>
      </c>
    </row>
    <row r="9" spans="1:11" x14ac:dyDescent="0.25">
      <c r="A9" t="s">
        <v>11</v>
      </c>
      <c r="B9" s="3">
        <v>1.5487699999999999E-4</v>
      </c>
      <c r="C9" s="3">
        <v>1.3575100000000001E-4</v>
      </c>
      <c r="D9" s="3">
        <v>1.3108600000000001E-4</v>
      </c>
      <c r="E9" s="3">
        <v>1.3015300000000001E-4</v>
      </c>
      <c r="F9" s="3">
        <v>1.31552E-4</v>
      </c>
      <c r="G9" s="3">
        <v>1.3061999999999999E-4</v>
      </c>
      <c r="H9" s="3">
        <v>1.3201900000000001E-4</v>
      </c>
      <c r="I9" s="3">
        <v>1.36217E-4</v>
      </c>
      <c r="J9" s="3">
        <v>1.2922000000000001E-4</v>
      </c>
      <c r="K9" s="3">
        <v>1.30619E-4</v>
      </c>
    </row>
    <row r="10" spans="1:11" x14ac:dyDescent="0.25">
      <c r="A10" t="s">
        <v>12</v>
      </c>
      <c r="B10" s="3">
        <v>1.81468E-4</v>
      </c>
      <c r="C10" s="3">
        <v>1.4461500000000001E-4</v>
      </c>
      <c r="D10" s="3">
        <v>1.42748E-4</v>
      </c>
      <c r="E10" s="3">
        <v>1.44148E-4</v>
      </c>
      <c r="F10" s="3">
        <v>1.41815E-4</v>
      </c>
      <c r="G10" s="3">
        <v>1.4274900000000001E-4</v>
      </c>
      <c r="H10" s="3">
        <v>1.42748E-4</v>
      </c>
      <c r="I10" s="3">
        <v>1.50679E-4</v>
      </c>
      <c r="J10" s="3">
        <v>1.4554699999999999E-4</v>
      </c>
      <c r="K10" s="3">
        <v>1.42748E-4</v>
      </c>
    </row>
    <row r="11" spans="1:11" x14ac:dyDescent="0.25">
      <c r="A11" t="s">
        <v>13</v>
      </c>
      <c r="B11" s="3">
        <v>1.72604E-4</v>
      </c>
      <c r="C11" s="3">
        <v>1.5627699999999999E-4</v>
      </c>
      <c r="D11" s="3">
        <v>1.54411E-4</v>
      </c>
      <c r="E11" s="3">
        <v>1.5534300000000001E-4</v>
      </c>
      <c r="F11" s="3">
        <v>1.60008E-4</v>
      </c>
      <c r="G11" s="3">
        <v>1.5487699999999999E-4</v>
      </c>
      <c r="H11" s="3">
        <v>1.54411E-4</v>
      </c>
      <c r="I11" s="3">
        <v>1.55344E-4</v>
      </c>
      <c r="J11" s="3">
        <v>1.54411E-4</v>
      </c>
      <c r="K11" s="3">
        <v>1.9732899999999999E-4</v>
      </c>
    </row>
    <row r="12" spans="1:11" x14ac:dyDescent="0.25">
      <c r="A12" t="s">
        <v>14</v>
      </c>
      <c r="B12" s="3">
        <v>1.8706500000000001E-4</v>
      </c>
      <c r="C12" s="3">
        <v>1.6700600000000001E-4</v>
      </c>
      <c r="D12" s="3">
        <v>1.6700600000000001E-4</v>
      </c>
      <c r="E12" s="3">
        <v>1.66539E-4</v>
      </c>
      <c r="F12" s="3">
        <v>1.7213800000000001E-4</v>
      </c>
      <c r="G12" s="3">
        <v>1.6653999999999999E-4</v>
      </c>
      <c r="H12" s="3">
        <v>1.6700600000000001E-4</v>
      </c>
      <c r="I12" s="3">
        <v>1.71671E-4</v>
      </c>
      <c r="J12" s="3">
        <v>1.65606E-4</v>
      </c>
      <c r="K12" s="3">
        <v>1.66074E-4</v>
      </c>
    </row>
    <row r="13" spans="1:11" x14ac:dyDescent="0.25">
      <c r="A13" t="s">
        <v>15</v>
      </c>
      <c r="B13" s="3">
        <v>1.9919499999999999E-4</v>
      </c>
      <c r="C13" s="3">
        <v>1.7866900000000001E-4</v>
      </c>
      <c r="D13" s="3">
        <v>1.83334E-4</v>
      </c>
      <c r="E13" s="3">
        <v>1.77269E-4</v>
      </c>
      <c r="F13" s="3">
        <v>1.80068E-4</v>
      </c>
      <c r="G13" s="3">
        <v>1.8239999999999999E-4</v>
      </c>
      <c r="H13" s="3">
        <v>1.77269E-4</v>
      </c>
      <c r="I13" s="3">
        <v>1.77269E-4</v>
      </c>
      <c r="J13" s="3">
        <v>1.7773600000000001E-4</v>
      </c>
      <c r="K13" s="3">
        <v>1.7773600000000001E-4</v>
      </c>
    </row>
    <row r="14" spans="1:11" x14ac:dyDescent="0.25">
      <c r="A14" t="s">
        <v>16</v>
      </c>
      <c r="B14" s="3">
        <v>2.3744799999999999E-4</v>
      </c>
      <c r="C14" s="3">
        <v>2.19254E-4</v>
      </c>
      <c r="D14" s="3">
        <v>2.20187E-4</v>
      </c>
      <c r="E14" s="3">
        <v>1.9406299999999999E-4</v>
      </c>
      <c r="F14" s="3">
        <v>1.89865E-4</v>
      </c>
      <c r="G14" s="3">
        <v>1.9126399999999999E-4</v>
      </c>
      <c r="H14" s="3">
        <v>1.9919499999999999E-4</v>
      </c>
      <c r="I14" s="3">
        <v>1.95463E-4</v>
      </c>
      <c r="J14" s="3">
        <v>1.89865E-4</v>
      </c>
      <c r="K14" s="3">
        <v>1.93131E-4</v>
      </c>
    </row>
    <row r="15" spans="1:11" x14ac:dyDescent="0.25">
      <c r="A15" t="s">
        <v>17</v>
      </c>
      <c r="B15" s="3">
        <v>2.40246E-4</v>
      </c>
      <c r="C15" s="3">
        <v>2.0712500000000001E-4</v>
      </c>
      <c r="D15" s="3">
        <v>2.12723E-4</v>
      </c>
      <c r="E15" s="3">
        <v>2.13656E-4</v>
      </c>
      <c r="F15" s="3">
        <v>2.1458999999999999E-4</v>
      </c>
      <c r="G15" s="3">
        <v>2.1412199999999999E-4</v>
      </c>
      <c r="H15" s="3">
        <v>2.4631099999999998E-4</v>
      </c>
      <c r="I15" s="3">
        <v>2.22986E-4</v>
      </c>
      <c r="J15" s="3">
        <v>2.1505499999999999E-4</v>
      </c>
      <c r="K15" s="3">
        <v>2.1412199999999999E-4</v>
      </c>
    </row>
    <row r="16" spans="1:11" x14ac:dyDescent="0.25">
      <c r="A16" t="s">
        <v>18</v>
      </c>
      <c r="B16" s="3">
        <v>2.62639E-4</v>
      </c>
      <c r="C16" s="3">
        <v>2.4537700000000002E-4</v>
      </c>
      <c r="D16" s="3">
        <v>2.3651499999999999E-4</v>
      </c>
      <c r="E16" s="3">
        <v>2.5937200000000001E-4</v>
      </c>
      <c r="F16" s="3">
        <v>2.33716E-4</v>
      </c>
      <c r="G16" s="3">
        <v>2.3884700000000001E-4</v>
      </c>
      <c r="H16" s="3">
        <v>2.5004299999999998E-4</v>
      </c>
      <c r="I16" s="3">
        <v>2.4957700000000001E-4</v>
      </c>
      <c r="J16" s="3">
        <v>2.43978E-4</v>
      </c>
      <c r="K16" s="3">
        <v>4.0025500000000002E-4</v>
      </c>
    </row>
    <row r="17" spans="1:11" x14ac:dyDescent="0.25">
      <c r="A17" t="s">
        <v>19</v>
      </c>
      <c r="B17" s="3">
        <v>4.1051800000000002E-4</v>
      </c>
      <c r="C17" s="3">
        <v>4.1564999999999999E-4</v>
      </c>
      <c r="D17" s="3">
        <v>2.6263799999999999E-4</v>
      </c>
      <c r="E17" s="3">
        <v>2.5844000000000003E-4</v>
      </c>
      <c r="F17" s="3">
        <v>2.6170499999999999E-4</v>
      </c>
      <c r="G17" s="3">
        <v>2.96693E-4</v>
      </c>
      <c r="H17" s="3">
        <v>2.5657399999999997E-4</v>
      </c>
      <c r="I17" s="3">
        <v>2.5144300000000001E-4</v>
      </c>
      <c r="J17" s="3">
        <v>4.0865299999999998E-4</v>
      </c>
      <c r="K17" s="3">
        <v>4.1938199999999999E-4</v>
      </c>
    </row>
    <row r="18" spans="1:11" x14ac:dyDescent="0.25">
      <c r="A18" t="s">
        <v>20</v>
      </c>
      <c r="B18" s="3">
        <v>2.7943199999999998E-4</v>
      </c>
      <c r="C18" s="3">
        <v>2.5937300000000003E-4</v>
      </c>
      <c r="D18" s="3">
        <v>2.61706E-4</v>
      </c>
      <c r="E18" s="3">
        <v>2.5797400000000001E-4</v>
      </c>
      <c r="F18" s="3">
        <v>2.6450399999999999E-4</v>
      </c>
      <c r="G18" s="3">
        <v>2.5703999999999999E-4</v>
      </c>
      <c r="H18" s="3">
        <v>2.4771E-4</v>
      </c>
      <c r="I18" s="3">
        <v>2.4910999999999998E-4</v>
      </c>
      <c r="J18" s="3">
        <v>2.4164600000000001E-4</v>
      </c>
      <c r="K18" s="3">
        <v>2.5284199999999998E-4</v>
      </c>
    </row>
    <row r="19" spans="1:11" x14ac:dyDescent="0.25">
      <c r="A19" t="s">
        <v>21</v>
      </c>
      <c r="B19" s="3">
        <v>2.7383399999999998E-4</v>
      </c>
      <c r="C19" s="3">
        <v>2.5237600000000001E-4</v>
      </c>
      <c r="D19" s="3">
        <v>2.5004299999999998E-4</v>
      </c>
      <c r="E19" s="3">
        <v>2.6077300000000001E-4</v>
      </c>
      <c r="F19" s="3">
        <v>2.5750700000000003E-4</v>
      </c>
      <c r="G19" s="3">
        <v>2.5424200000000001E-4</v>
      </c>
      <c r="H19" s="3">
        <v>2.5564099999999997E-4</v>
      </c>
      <c r="I19" s="3">
        <v>2.5097599999999998E-4</v>
      </c>
      <c r="J19" s="3">
        <v>2.3511499999999999E-4</v>
      </c>
      <c r="K19" s="3">
        <v>2.4817600000000002E-4</v>
      </c>
    </row>
    <row r="20" spans="1:11" x14ac:dyDescent="0.25">
      <c r="A20" t="s">
        <v>22</v>
      </c>
      <c r="B20" s="3">
        <v>2.9389299999999999E-4</v>
      </c>
      <c r="C20" s="3">
        <v>2.6310500000000002E-4</v>
      </c>
      <c r="D20" s="3">
        <v>2.6030600000000002E-4</v>
      </c>
      <c r="E20" s="3">
        <v>2.6403700000000001E-4</v>
      </c>
      <c r="F20" s="3">
        <v>2.6683700000000002E-4</v>
      </c>
      <c r="G20" s="3">
        <v>2.73835E-4</v>
      </c>
      <c r="H20" s="3">
        <v>2.6310500000000002E-4</v>
      </c>
      <c r="I20" s="3">
        <v>2.7710000000000001E-4</v>
      </c>
      <c r="J20" s="3">
        <v>2.7383399999999998E-4</v>
      </c>
      <c r="K20" s="3">
        <v>2.6123900000000002E-4</v>
      </c>
    </row>
    <row r="22" spans="1:11" x14ac:dyDescent="0.25">
      <c r="A22" t="s">
        <v>3</v>
      </c>
      <c r="B22" s="3">
        <v>5.5979999999999996E-6</v>
      </c>
      <c r="C22" s="3">
        <v>5.5979999999999996E-6</v>
      </c>
      <c r="D22" s="3">
        <v>5.5979999999999996E-6</v>
      </c>
      <c r="E22" s="3">
        <v>5.1320000000000002E-6</v>
      </c>
      <c r="F22" s="3">
        <v>5.5979999999999996E-6</v>
      </c>
      <c r="G22" s="3">
        <v>5.1320000000000002E-6</v>
      </c>
      <c r="H22" s="3">
        <v>5.5979999999999996E-6</v>
      </c>
      <c r="I22" s="3">
        <v>5.5979999999999996E-6</v>
      </c>
      <c r="J22" s="3">
        <v>5.5979999999999996E-6</v>
      </c>
      <c r="K22" s="3">
        <v>5.1320000000000002E-6</v>
      </c>
    </row>
    <row r="23" spans="1:11" x14ac:dyDescent="0.25">
      <c r="A23" t="s">
        <v>4</v>
      </c>
      <c r="B23" s="3">
        <v>6.9979999999999997E-6</v>
      </c>
      <c r="C23" s="3">
        <v>7.464E-6</v>
      </c>
      <c r="D23" s="3">
        <v>9.3300000000000005E-6</v>
      </c>
      <c r="E23" s="3">
        <v>7.9310000000000008E-6</v>
      </c>
      <c r="F23" s="3">
        <v>1.0730000000000001E-5</v>
      </c>
      <c r="G23" s="3">
        <v>1.3062E-5</v>
      </c>
      <c r="H23" s="3">
        <v>1.2595000000000001E-5</v>
      </c>
      <c r="I23" s="3">
        <v>7.464E-6</v>
      </c>
      <c r="J23" s="3">
        <v>6.9970000000000001E-6</v>
      </c>
      <c r="K23" s="3">
        <v>7.464E-6</v>
      </c>
    </row>
    <row r="24" spans="1:11" x14ac:dyDescent="0.25">
      <c r="A24" t="s">
        <v>5</v>
      </c>
      <c r="B24" s="3">
        <v>8.8640000000000002E-6</v>
      </c>
      <c r="C24" s="3">
        <v>9.7960000000000007E-6</v>
      </c>
      <c r="D24" s="3">
        <v>8.8640000000000002E-6</v>
      </c>
      <c r="E24" s="3">
        <v>8.8629999999999997E-6</v>
      </c>
      <c r="F24" s="3">
        <v>8.8640000000000002E-6</v>
      </c>
      <c r="G24" s="3">
        <v>8.8640000000000002E-6</v>
      </c>
      <c r="H24" s="3">
        <v>8.8640000000000002E-6</v>
      </c>
      <c r="I24" s="3">
        <v>9.7960000000000007E-6</v>
      </c>
      <c r="J24" s="3">
        <v>9.3300000000000005E-6</v>
      </c>
      <c r="K24" s="3">
        <v>8.8629999999999997E-6</v>
      </c>
    </row>
    <row r="25" spans="1:11" x14ac:dyDescent="0.25">
      <c r="A25" t="s">
        <v>6</v>
      </c>
      <c r="B25" s="3">
        <v>1.5860999999999999E-5</v>
      </c>
      <c r="C25" s="3">
        <v>2.0526E-5</v>
      </c>
      <c r="D25" s="3">
        <v>1.3062E-5</v>
      </c>
      <c r="E25" s="3">
        <v>1.2129E-5</v>
      </c>
      <c r="F25" s="3">
        <v>1.2129E-5</v>
      </c>
      <c r="G25" s="3">
        <v>1.9126E-5</v>
      </c>
      <c r="H25" s="3">
        <v>1.0729E-5</v>
      </c>
      <c r="I25" s="3">
        <v>1.0263E-5</v>
      </c>
      <c r="J25" s="3">
        <v>1.1661999999999999E-5</v>
      </c>
      <c r="K25" s="3">
        <v>1.0729E-5</v>
      </c>
    </row>
    <row r="26" spans="1:11" x14ac:dyDescent="0.25">
      <c r="A26" t="s">
        <v>7</v>
      </c>
      <c r="B26" s="3">
        <v>1.2595000000000001E-5</v>
      </c>
      <c r="C26" s="3">
        <v>1.2595000000000001E-5</v>
      </c>
      <c r="D26" s="3">
        <v>1.2129E-5</v>
      </c>
      <c r="E26" s="3">
        <v>1.2595999999999999E-5</v>
      </c>
      <c r="F26" s="3">
        <v>1.2595000000000001E-5</v>
      </c>
      <c r="G26" s="3">
        <v>1.2129E-5</v>
      </c>
      <c r="H26" s="3">
        <v>1.3062E-5</v>
      </c>
      <c r="I26" s="3">
        <v>1.2129E-5</v>
      </c>
      <c r="J26" s="3">
        <v>1.2129E-5</v>
      </c>
      <c r="K26" s="3">
        <v>1.2129E-5</v>
      </c>
    </row>
    <row r="27" spans="1:11" x14ac:dyDescent="0.25">
      <c r="A27" t="s">
        <v>8</v>
      </c>
      <c r="B27" s="3">
        <v>1.4460999999999999E-5</v>
      </c>
      <c r="C27" s="3">
        <v>1.3995000000000001E-5</v>
      </c>
      <c r="D27" s="3">
        <v>1.3995000000000001E-5</v>
      </c>
      <c r="E27" s="3">
        <v>1.8193999999999999E-5</v>
      </c>
      <c r="F27" s="3">
        <v>1.3995000000000001E-5</v>
      </c>
      <c r="G27" s="3">
        <v>1.3995000000000001E-5</v>
      </c>
      <c r="H27" s="3">
        <v>1.3995000000000001E-5</v>
      </c>
      <c r="I27" s="3">
        <v>1.3995000000000001E-5</v>
      </c>
      <c r="J27" s="3">
        <v>1.3995000000000001E-5</v>
      </c>
      <c r="K27" s="3">
        <v>1.3995000000000001E-5</v>
      </c>
    </row>
    <row r="28" spans="1:11" x14ac:dyDescent="0.25">
      <c r="A28" t="s">
        <v>9</v>
      </c>
      <c r="B28" s="3">
        <v>1.8660000000000001E-5</v>
      </c>
      <c r="C28" s="3">
        <v>1.6793999999999999E-5</v>
      </c>
      <c r="D28" s="3">
        <v>1.5860999999999999E-5</v>
      </c>
      <c r="E28" s="3">
        <v>1.5860999999999999E-5</v>
      </c>
      <c r="F28" s="3">
        <v>1.5395000000000001E-5</v>
      </c>
      <c r="G28" s="3">
        <v>1.5860999999999999E-5</v>
      </c>
      <c r="H28" s="3">
        <v>1.5860999999999999E-5</v>
      </c>
      <c r="I28" s="3">
        <v>1.5860999999999999E-5</v>
      </c>
      <c r="J28" s="3">
        <v>1.5860999999999999E-5</v>
      </c>
      <c r="K28" s="3">
        <v>1.5393999999999999E-5</v>
      </c>
    </row>
    <row r="29" spans="1:11" x14ac:dyDescent="0.25">
      <c r="A29" t="s">
        <v>10</v>
      </c>
      <c r="B29" s="3">
        <v>2.8456E-5</v>
      </c>
      <c r="C29" s="3">
        <v>1.8193999999999999E-5</v>
      </c>
      <c r="D29" s="3">
        <v>1.7727000000000002E-5</v>
      </c>
      <c r="E29" s="3">
        <v>1.7260000000000001E-5</v>
      </c>
      <c r="F29" s="3">
        <v>1.7261E-5</v>
      </c>
      <c r="G29" s="3">
        <v>1.7727000000000002E-5</v>
      </c>
      <c r="H29" s="3">
        <v>1.7727000000000002E-5</v>
      </c>
      <c r="I29" s="3">
        <v>1.7260000000000001E-5</v>
      </c>
      <c r="J29" s="3">
        <v>1.6328E-5</v>
      </c>
      <c r="K29" s="3">
        <v>1.7725999999999999E-5</v>
      </c>
    </row>
    <row r="30" spans="1:11" x14ac:dyDescent="0.25">
      <c r="A30" t="s">
        <v>11</v>
      </c>
      <c r="B30" s="3">
        <v>2.0060000000000001E-5</v>
      </c>
      <c r="C30" s="3">
        <v>1.9593E-5</v>
      </c>
      <c r="D30" s="3">
        <v>1.9127000000000002E-5</v>
      </c>
      <c r="E30" s="3">
        <v>1.9126E-5</v>
      </c>
      <c r="F30" s="3">
        <v>2.2858E-5</v>
      </c>
      <c r="G30" s="3">
        <v>1.8660000000000001E-5</v>
      </c>
      <c r="H30" s="3">
        <v>1.9126E-5</v>
      </c>
      <c r="I30" s="3">
        <v>1.9126E-5</v>
      </c>
      <c r="J30" s="3">
        <v>1.9126E-5</v>
      </c>
      <c r="K30" s="3">
        <v>1.9127000000000002E-5</v>
      </c>
    </row>
    <row r="31" spans="1:11" x14ac:dyDescent="0.25">
      <c r="A31" t="s">
        <v>12</v>
      </c>
      <c r="B31" s="3">
        <v>2.0992000000000002E-5</v>
      </c>
      <c r="C31" s="3">
        <v>2.0058999999999999E-5</v>
      </c>
      <c r="D31" s="3">
        <v>1.9593E-5</v>
      </c>
      <c r="E31" s="3">
        <v>2.0992000000000002E-5</v>
      </c>
      <c r="F31" s="3">
        <v>2.0526E-5</v>
      </c>
      <c r="G31" s="3">
        <v>2.0992000000000002E-5</v>
      </c>
      <c r="H31" s="3">
        <v>2.5191E-5</v>
      </c>
      <c r="I31" s="3">
        <v>3.0321999999999999E-5</v>
      </c>
      <c r="J31" s="3">
        <v>2.2391999999999998E-5</v>
      </c>
      <c r="K31" s="3">
        <v>2.1925000000000001E-5</v>
      </c>
    </row>
    <row r="32" spans="1:11" x14ac:dyDescent="0.25">
      <c r="A32" t="s">
        <v>13</v>
      </c>
      <c r="B32" s="3">
        <v>2.8923000000000001E-5</v>
      </c>
      <c r="C32" s="3">
        <v>2.3791E-5</v>
      </c>
      <c r="D32" s="3">
        <v>2.4258000000000001E-5</v>
      </c>
      <c r="E32" s="3">
        <v>2.8923000000000001E-5</v>
      </c>
      <c r="F32" s="3">
        <v>2.4258000000000001E-5</v>
      </c>
      <c r="G32" s="3">
        <v>2.2858999999999999E-5</v>
      </c>
      <c r="H32" s="3">
        <v>2.2391999999999998E-5</v>
      </c>
      <c r="I32" s="3">
        <v>3.1254999999999998E-5</v>
      </c>
      <c r="J32" s="3">
        <v>2.3325000000000001E-5</v>
      </c>
      <c r="K32" s="3">
        <v>2.2858E-5</v>
      </c>
    </row>
    <row r="33" spans="1:11" x14ac:dyDescent="0.25">
      <c r="A33" t="s">
        <v>14</v>
      </c>
      <c r="B33" s="3">
        <v>2.7990000000000001E-5</v>
      </c>
      <c r="C33" s="3">
        <v>2.4723999999999999E-5</v>
      </c>
      <c r="D33" s="3">
        <v>2.2858999999999999E-5</v>
      </c>
      <c r="E33" s="3">
        <v>2.4723999999999999E-5</v>
      </c>
      <c r="F33" s="3">
        <v>2.4258000000000001E-5</v>
      </c>
      <c r="G33" s="3">
        <v>2.4258000000000001E-5</v>
      </c>
      <c r="H33" s="3">
        <v>2.4258000000000001E-5</v>
      </c>
      <c r="I33" s="3">
        <v>2.8923000000000001E-5</v>
      </c>
      <c r="J33" s="3">
        <v>2.4258000000000001E-5</v>
      </c>
      <c r="K33" s="3">
        <v>2.4258000000000001E-5</v>
      </c>
    </row>
    <row r="34" spans="1:11" x14ac:dyDescent="0.25">
      <c r="A34" t="s">
        <v>15</v>
      </c>
      <c r="B34" s="3">
        <v>2.8923000000000001E-5</v>
      </c>
      <c r="C34" s="3">
        <v>3.4520999999999997E-5</v>
      </c>
      <c r="D34" s="3">
        <v>3.8720000000000002E-5</v>
      </c>
      <c r="E34" s="3">
        <v>3.4520999999999997E-5</v>
      </c>
      <c r="F34" s="3">
        <v>3.6386E-5</v>
      </c>
      <c r="G34" s="3">
        <v>2.8456E-5</v>
      </c>
      <c r="H34" s="3">
        <v>3.6386E-5</v>
      </c>
      <c r="I34" s="3">
        <v>2.8923000000000001E-5</v>
      </c>
      <c r="J34" s="3">
        <v>2.9388999999999999E-5</v>
      </c>
      <c r="K34" s="3">
        <v>2.8456999999999999E-5</v>
      </c>
    </row>
    <row r="35" spans="1:11" x14ac:dyDescent="0.25">
      <c r="A35" t="s">
        <v>16</v>
      </c>
      <c r="B35" s="3">
        <v>3.7787000000000003E-5</v>
      </c>
      <c r="C35" s="3">
        <v>2.7990000000000001E-5</v>
      </c>
      <c r="D35" s="3">
        <v>2.8456E-5</v>
      </c>
      <c r="E35" s="3">
        <v>2.7523999999999999E-5</v>
      </c>
      <c r="F35" s="3">
        <v>2.7990000000000001E-5</v>
      </c>
      <c r="G35" s="3">
        <v>3.2654999999999998E-5</v>
      </c>
      <c r="H35" s="3">
        <v>2.7523000000000001E-5</v>
      </c>
      <c r="I35" s="3">
        <v>2.7523999999999999E-5</v>
      </c>
      <c r="J35" s="3">
        <v>2.7990000000000001E-5</v>
      </c>
      <c r="K35" s="3">
        <v>2.7990000000000001E-5</v>
      </c>
    </row>
    <row r="36" spans="1:11" x14ac:dyDescent="0.25">
      <c r="A36" t="s">
        <v>17</v>
      </c>
      <c r="B36" s="3">
        <v>3.0788999999999999E-5</v>
      </c>
      <c r="C36" s="3">
        <v>2.9388999999999999E-5</v>
      </c>
      <c r="D36" s="3">
        <v>2.8923000000000001E-5</v>
      </c>
      <c r="E36" s="3">
        <v>3.4054999999999998E-5</v>
      </c>
      <c r="F36" s="3">
        <v>3.2654000000000003E-5</v>
      </c>
      <c r="G36" s="3">
        <v>2.9388999999999999E-5</v>
      </c>
      <c r="H36" s="3">
        <v>2.8923000000000001E-5</v>
      </c>
      <c r="I36" s="3">
        <v>2.8923000000000001E-5</v>
      </c>
      <c r="J36" s="3">
        <v>3.0788999999999999E-5</v>
      </c>
      <c r="K36" s="3">
        <v>2.9388999999999999E-5</v>
      </c>
    </row>
    <row r="37" spans="1:11" x14ac:dyDescent="0.25">
      <c r="A37" t="s">
        <v>18</v>
      </c>
      <c r="B37" s="3">
        <v>3.5920999999999997E-5</v>
      </c>
      <c r="C37" s="3">
        <v>3.6854000000000003E-5</v>
      </c>
      <c r="D37" s="3">
        <v>3.0788999999999999E-5</v>
      </c>
      <c r="E37" s="3">
        <v>3.1254999999999998E-5</v>
      </c>
      <c r="F37" s="3">
        <v>3.1254999999999998E-5</v>
      </c>
      <c r="G37" s="3">
        <v>3.7320000000000002E-5</v>
      </c>
      <c r="H37" s="3">
        <v>2.8923000000000001E-5</v>
      </c>
      <c r="I37" s="3">
        <v>2.9388999999999999E-5</v>
      </c>
      <c r="J37" s="3">
        <v>2.8923000000000001E-5</v>
      </c>
      <c r="K37" s="3">
        <v>3.5454000000000003E-5</v>
      </c>
    </row>
    <row r="38" spans="1:11" x14ac:dyDescent="0.25">
      <c r="A38" t="s">
        <v>19</v>
      </c>
      <c r="B38" s="3">
        <v>3.4987000000000002E-5</v>
      </c>
      <c r="C38" s="3">
        <v>3.3587999999999998E-5</v>
      </c>
      <c r="D38" s="3">
        <v>3.3121999999999999E-5</v>
      </c>
      <c r="E38" s="3">
        <v>3.3120999999999997E-5</v>
      </c>
      <c r="F38" s="3">
        <v>3.5920999999999997E-5</v>
      </c>
      <c r="G38" s="3">
        <v>3.0788999999999999E-5</v>
      </c>
      <c r="H38" s="3">
        <v>3.4987000000000002E-5</v>
      </c>
      <c r="I38" s="3">
        <v>3.0788999999999999E-5</v>
      </c>
      <c r="J38" s="3">
        <v>3.2654000000000003E-5</v>
      </c>
      <c r="K38" s="3">
        <v>3.2654999999999998E-5</v>
      </c>
    </row>
    <row r="39" spans="1:11" x14ac:dyDescent="0.25">
      <c r="A39" t="s">
        <v>20</v>
      </c>
      <c r="B39" s="3">
        <v>3.7320000000000002E-5</v>
      </c>
      <c r="C39" s="3">
        <v>3.9186000000000001E-5</v>
      </c>
      <c r="D39" s="3">
        <v>5.1314999999999999E-5</v>
      </c>
      <c r="E39" s="3">
        <v>4.9449E-5</v>
      </c>
      <c r="F39" s="3">
        <v>3.5920000000000002E-5</v>
      </c>
      <c r="G39" s="3">
        <v>3.4987000000000002E-5</v>
      </c>
      <c r="H39" s="3">
        <v>3.4987000000000002E-5</v>
      </c>
      <c r="I39" s="3">
        <v>3.4520999999999997E-5</v>
      </c>
      <c r="J39" s="3">
        <v>3.4520999999999997E-5</v>
      </c>
      <c r="K39" s="3">
        <v>3.8719E-5</v>
      </c>
    </row>
    <row r="40" spans="1:11" x14ac:dyDescent="0.25">
      <c r="A40" t="s">
        <v>21</v>
      </c>
      <c r="B40" s="3">
        <v>3.9186000000000001E-5</v>
      </c>
      <c r="C40" s="3">
        <v>3.7320000000000002E-5</v>
      </c>
      <c r="D40" s="3">
        <v>3.6387000000000002E-5</v>
      </c>
      <c r="E40" s="3">
        <v>3.7320000000000002E-5</v>
      </c>
      <c r="F40" s="3">
        <v>4.1051999999999999E-5</v>
      </c>
      <c r="G40" s="3">
        <v>3.6854000000000003E-5</v>
      </c>
      <c r="H40" s="3">
        <v>4.2917999999999998E-5</v>
      </c>
      <c r="I40" s="3">
        <v>3.5920000000000002E-5</v>
      </c>
      <c r="J40" s="3">
        <v>3.6387000000000002E-5</v>
      </c>
      <c r="K40" s="3">
        <v>3.4054999999999998E-5</v>
      </c>
    </row>
    <row r="41" spans="1:11" x14ac:dyDescent="0.25">
      <c r="A41" t="s">
        <v>22</v>
      </c>
      <c r="B41" s="3">
        <v>4.3850999999999997E-5</v>
      </c>
      <c r="C41" s="3">
        <v>3.9651999999999999E-5</v>
      </c>
      <c r="D41" s="3">
        <v>4.1984999999999999E-5</v>
      </c>
      <c r="E41" s="3">
        <v>3.8253000000000001E-5</v>
      </c>
      <c r="F41" s="3">
        <v>3.7320000000000002E-5</v>
      </c>
      <c r="G41" s="3">
        <v>7.5105999999999995E-5</v>
      </c>
      <c r="H41" s="3">
        <v>4.1517999999999998E-5</v>
      </c>
      <c r="I41" s="3">
        <v>3.9186000000000001E-5</v>
      </c>
      <c r="J41" s="3">
        <v>4.3384999999999999E-5</v>
      </c>
      <c r="K41" s="3">
        <v>3.7786E-5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7"/>
  <sheetViews>
    <sheetView topLeftCell="A22" workbookViewId="0"/>
  </sheetViews>
  <sheetFormatPr defaultRowHeight="15" x14ac:dyDescent="0.25"/>
  <cols>
    <col min="1" max="1" width="8.5703125" bestFit="1" customWidth="1"/>
    <col min="2" max="10" width="8.28515625" bestFit="1" customWidth="1"/>
    <col min="11" max="11" width="11" bestFit="1" customWidth="1"/>
  </cols>
  <sheetData>
    <row r="1" spans="1:11" x14ac:dyDescent="0.25">
      <c r="A1" t="s">
        <v>3</v>
      </c>
      <c r="B1" s="3">
        <v>1.3761700000000001E-4</v>
      </c>
      <c r="C1" s="3">
        <v>6.8108999999999995E-5</v>
      </c>
      <c r="D1" s="3">
        <v>6.4375999999999995E-5</v>
      </c>
      <c r="E1" s="3">
        <v>6.2044000000000004E-5</v>
      </c>
      <c r="F1" s="3">
        <v>5.9710999999999998E-5</v>
      </c>
      <c r="G1" s="3">
        <v>5.9244999999999999E-5</v>
      </c>
      <c r="H1" s="3">
        <v>5.9244999999999999E-5</v>
      </c>
      <c r="I1" s="3">
        <v>5.9244999999999999E-5</v>
      </c>
      <c r="J1" s="3">
        <v>5.9712E-5</v>
      </c>
      <c r="K1" s="3">
        <v>5.8779000000000001E-5</v>
      </c>
    </row>
    <row r="2" spans="1:11" x14ac:dyDescent="0.25">
      <c r="A2" t="s">
        <v>4</v>
      </c>
      <c r="B2" s="3">
        <v>7.5105999999999995E-5</v>
      </c>
      <c r="C2" s="3">
        <v>6.7175999999999995E-5</v>
      </c>
      <c r="D2" s="3">
        <v>6.5309999999999996E-5</v>
      </c>
      <c r="E2" s="3">
        <v>6.7175999999999995E-5</v>
      </c>
      <c r="F2" s="3">
        <v>6.6242999999999996E-5</v>
      </c>
      <c r="G2" s="3">
        <v>7.3239999999999997E-5</v>
      </c>
      <c r="H2" s="3">
        <v>6.5776000000000002E-5</v>
      </c>
      <c r="I2" s="3">
        <v>6.6241999999999994E-5</v>
      </c>
      <c r="J2" s="3">
        <v>6.8108999999999995E-5</v>
      </c>
      <c r="K2" s="3">
        <v>6.5776000000000002E-5</v>
      </c>
    </row>
    <row r="3" spans="1:11" x14ac:dyDescent="0.25">
      <c r="A3" t="s">
        <v>5</v>
      </c>
      <c r="B3" s="3">
        <v>5.1314999999999999E-5</v>
      </c>
      <c r="C3" s="3">
        <v>4.3383999999999997E-5</v>
      </c>
      <c r="D3" s="3">
        <v>4.2917000000000003E-5</v>
      </c>
      <c r="E3" s="3">
        <v>4.2917999999999998E-5</v>
      </c>
      <c r="F3" s="3">
        <v>4.2917999999999998E-5</v>
      </c>
      <c r="G3" s="3">
        <v>4.2917000000000003E-5</v>
      </c>
      <c r="H3" s="3">
        <v>4.2917999999999998E-5</v>
      </c>
      <c r="I3" s="3">
        <v>4.3383999999999997E-5</v>
      </c>
      <c r="J3" s="3">
        <v>4.2917999999999998E-5</v>
      </c>
      <c r="K3" s="3">
        <v>4.3383999999999997E-5</v>
      </c>
    </row>
    <row r="4" spans="1:11" x14ac:dyDescent="0.25">
      <c r="A4" t="s">
        <v>6</v>
      </c>
      <c r="B4" s="3">
        <v>8.6302000000000001E-5</v>
      </c>
      <c r="C4" s="3">
        <v>7.9305E-5</v>
      </c>
      <c r="D4" s="3">
        <v>7.7904999999999994E-5</v>
      </c>
      <c r="E4" s="3">
        <v>7.7438E-5</v>
      </c>
      <c r="F4" s="3">
        <v>8.9567000000000005E-5</v>
      </c>
      <c r="G4" s="3">
        <v>8.8634999999999994E-5</v>
      </c>
      <c r="H4" s="3">
        <v>8.8634000000000006E-5</v>
      </c>
      <c r="I4" s="3">
        <v>8.8634999999999994E-5</v>
      </c>
      <c r="J4" s="3">
        <v>8.3036999999999998E-5</v>
      </c>
      <c r="K4" s="3">
        <v>1.04029E-4</v>
      </c>
    </row>
    <row r="5" spans="1:11" x14ac:dyDescent="0.25">
      <c r="A5" t="s">
        <v>7</v>
      </c>
      <c r="B5" s="3">
        <v>1.11493E-4</v>
      </c>
      <c r="C5" s="3">
        <v>9.3765999999999996E-5</v>
      </c>
      <c r="D5" s="3">
        <v>7.3707000000000004E-5</v>
      </c>
      <c r="E5" s="3">
        <v>7.5572000000000001E-5</v>
      </c>
      <c r="F5" s="3">
        <v>1.0542799999999999E-4</v>
      </c>
      <c r="G5" s="3">
        <v>6.2044000000000004E-5</v>
      </c>
      <c r="H5" s="3">
        <v>6.9041999999999994E-5</v>
      </c>
      <c r="I5" s="3">
        <v>5.9710999999999998E-5</v>
      </c>
      <c r="J5" s="3">
        <v>6.3910000000000003E-5</v>
      </c>
      <c r="K5" s="3">
        <v>6.0643999999999997E-5</v>
      </c>
    </row>
    <row r="6" spans="1:11" x14ac:dyDescent="0.25">
      <c r="A6" t="s">
        <v>8</v>
      </c>
      <c r="B6" s="3">
        <v>7.0440999999999999E-5</v>
      </c>
      <c r="C6" s="3">
        <v>7.0440999999999999E-5</v>
      </c>
      <c r="D6" s="3">
        <v>6.9041000000000005E-5</v>
      </c>
      <c r="E6" s="3">
        <v>6.5776000000000002E-5</v>
      </c>
      <c r="F6" s="3">
        <v>6.5308999999999994E-5</v>
      </c>
      <c r="G6" s="3">
        <v>5.2714999999999999E-5</v>
      </c>
      <c r="H6" s="3">
        <v>4.6183000000000002E-5</v>
      </c>
      <c r="I6" s="3">
        <v>3.9186000000000001E-5</v>
      </c>
      <c r="J6" s="3">
        <v>3.4987000000000002E-5</v>
      </c>
      <c r="K6" s="3">
        <v>3.7787000000000003E-5</v>
      </c>
    </row>
    <row r="7" spans="1:11" x14ac:dyDescent="0.25">
      <c r="A7" t="s">
        <v>9</v>
      </c>
      <c r="B7" s="3">
        <v>8.7235000000000001E-5</v>
      </c>
      <c r="C7" s="3">
        <v>6.9507999999999999E-5</v>
      </c>
      <c r="D7" s="3">
        <v>6.9041999999999994E-5</v>
      </c>
      <c r="E7" s="3">
        <v>6.8576000000000002E-5</v>
      </c>
      <c r="F7" s="3">
        <v>6.8108999999999995E-5</v>
      </c>
      <c r="G7" s="3">
        <v>6.8575E-5</v>
      </c>
      <c r="H7" s="3">
        <v>6.8108999999999995E-5</v>
      </c>
      <c r="I7" s="3">
        <v>6.7642000000000001E-5</v>
      </c>
      <c r="J7" s="3">
        <v>6.8575E-5</v>
      </c>
      <c r="K7" s="3">
        <v>6.9507999999999999E-5</v>
      </c>
    </row>
    <row r="8" spans="1:11" x14ac:dyDescent="0.25">
      <c r="A8" t="s">
        <v>10</v>
      </c>
      <c r="B8" s="3">
        <v>4.8516000000000001E-5</v>
      </c>
      <c r="C8" s="3">
        <v>4.0584999999999999E-5</v>
      </c>
      <c r="D8" s="3">
        <v>4.0119E-5</v>
      </c>
      <c r="E8" s="3">
        <v>4.0119E-5</v>
      </c>
      <c r="F8" s="3">
        <v>4.0119E-5</v>
      </c>
      <c r="G8" s="3">
        <v>5.8779000000000001E-5</v>
      </c>
      <c r="H8" s="3">
        <v>4.5250000000000002E-5</v>
      </c>
      <c r="I8" s="3">
        <v>4.3383999999999997E-5</v>
      </c>
      <c r="J8" s="3">
        <v>4.2917999999999998E-5</v>
      </c>
      <c r="K8" s="3">
        <v>4.0584999999999999E-5</v>
      </c>
    </row>
    <row r="9" spans="1:11" x14ac:dyDescent="0.25">
      <c r="A9" t="s">
        <v>11</v>
      </c>
      <c r="B9" s="3">
        <v>9.1901E-5</v>
      </c>
      <c r="C9" s="3">
        <v>7.9771000000000006E-5</v>
      </c>
      <c r="D9" s="3">
        <v>7.6971999999999994E-5</v>
      </c>
      <c r="E9" s="3">
        <v>7.6038999999999995E-5</v>
      </c>
      <c r="F9" s="3">
        <v>7.5105999999999995E-5</v>
      </c>
      <c r="G9" s="3">
        <v>7.4172999999999996E-5</v>
      </c>
      <c r="H9" s="3">
        <v>7.5572000000000001E-5</v>
      </c>
      <c r="I9" s="3">
        <v>7.5105999999999995E-5</v>
      </c>
      <c r="J9" s="3">
        <v>1.03562E-4</v>
      </c>
      <c r="K9" s="3">
        <v>8.9101E-5</v>
      </c>
    </row>
    <row r="10" spans="1:11" x14ac:dyDescent="0.25">
      <c r="A10" t="s">
        <v>12</v>
      </c>
      <c r="B10" s="3">
        <v>9.6564999999999994E-5</v>
      </c>
      <c r="C10" s="3">
        <v>8.3035999999999996E-5</v>
      </c>
      <c r="D10" s="3">
        <v>8.2570000000000004E-5</v>
      </c>
      <c r="E10" s="3">
        <v>8.4436000000000003E-5</v>
      </c>
      <c r="F10" s="3">
        <v>8.1170999999999999E-5</v>
      </c>
      <c r="G10" s="3">
        <v>8.4901999999999995E-5</v>
      </c>
      <c r="H10" s="3">
        <v>7.8370999999999999E-5</v>
      </c>
      <c r="I10" s="3">
        <v>7.8372000000000001E-5</v>
      </c>
      <c r="J10" s="3">
        <v>7.8372000000000001E-5</v>
      </c>
      <c r="K10" s="3">
        <v>8.0704999999999994E-5</v>
      </c>
    </row>
    <row r="11" spans="1:11" x14ac:dyDescent="0.25">
      <c r="A11" t="s">
        <v>13</v>
      </c>
      <c r="B11" s="3">
        <v>1.2642099999999999E-4</v>
      </c>
      <c r="C11" s="3">
        <v>1.15225E-4</v>
      </c>
      <c r="D11" s="3">
        <v>1.1989000000000001E-4</v>
      </c>
      <c r="E11" s="3">
        <v>1.2129E-4</v>
      </c>
      <c r="F11" s="3">
        <v>1.20356E-4</v>
      </c>
      <c r="G11" s="3">
        <v>1.20357E-4</v>
      </c>
      <c r="H11" s="3">
        <v>1.2408800000000001E-4</v>
      </c>
      <c r="I11" s="3">
        <v>1.19423E-4</v>
      </c>
      <c r="J11" s="3">
        <v>1.20356E-4</v>
      </c>
      <c r="K11" s="3">
        <v>1.20357E-4</v>
      </c>
    </row>
    <row r="12" spans="1:11" x14ac:dyDescent="0.25">
      <c r="A12" t="s">
        <v>14</v>
      </c>
      <c r="B12" s="3">
        <v>1.44148E-4</v>
      </c>
      <c r="C12" s="3">
        <v>1.20357E-4</v>
      </c>
      <c r="D12" s="3">
        <v>1.21756E-4</v>
      </c>
      <c r="E12" s="3">
        <v>1.2082300000000001E-4</v>
      </c>
      <c r="F12" s="3">
        <v>1.2548799999999999E-4</v>
      </c>
      <c r="G12" s="3">
        <v>1.2782000000000001E-4</v>
      </c>
      <c r="H12" s="3">
        <v>1.1895700000000001E-4</v>
      </c>
      <c r="I12" s="3">
        <v>1.1802399999999999E-4</v>
      </c>
      <c r="J12" s="3">
        <v>1.19424E-4</v>
      </c>
      <c r="K12" s="3">
        <v>1.1895700000000001E-4</v>
      </c>
    </row>
    <row r="13" spans="1:11" x14ac:dyDescent="0.25">
      <c r="A13" t="s">
        <v>15</v>
      </c>
      <c r="B13" s="3">
        <v>1.17557E-4</v>
      </c>
      <c r="C13" s="3">
        <v>1.0822700000000001E-4</v>
      </c>
      <c r="D13" s="3">
        <v>1.03096E-4</v>
      </c>
      <c r="E13" s="3">
        <v>1.02163E-4</v>
      </c>
      <c r="F13" s="3">
        <v>1.12892E-4</v>
      </c>
      <c r="G13" s="3">
        <v>1.0729400000000001E-4</v>
      </c>
      <c r="H13" s="3">
        <v>1.0263E-4</v>
      </c>
      <c r="I13" s="3">
        <v>1.04496E-4</v>
      </c>
      <c r="J13" s="3">
        <v>1.0309700000000001E-4</v>
      </c>
      <c r="K13" s="3">
        <v>1.0263E-4</v>
      </c>
    </row>
    <row r="14" spans="1:11" x14ac:dyDescent="0.25">
      <c r="A14" t="s">
        <v>16</v>
      </c>
      <c r="B14" s="3">
        <v>1.43215E-4</v>
      </c>
      <c r="C14" s="3">
        <v>1.39016E-4</v>
      </c>
      <c r="D14" s="3">
        <v>1.39016E-4</v>
      </c>
      <c r="E14" s="3">
        <v>1.42748E-4</v>
      </c>
      <c r="F14" s="3">
        <v>1.3855000000000001E-4</v>
      </c>
      <c r="G14" s="3">
        <v>1.3715E-4</v>
      </c>
      <c r="H14" s="3">
        <v>1.3715099999999999E-4</v>
      </c>
      <c r="I14" s="3">
        <v>1.3761700000000001E-4</v>
      </c>
      <c r="J14" s="3">
        <v>1.3761700000000001E-4</v>
      </c>
      <c r="K14">
        <v>1.69852E-3</v>
      </c>
    </row>
    <row r="15" spans="1:11" x14ac:dyDescent="0.25">
      <c r="A15" t="s">
        <v>17</v>
      </c>
      <c r="B15" s="3">
        <v>1.04962E-4</v>
      </c>
      <c r="C15" s="3">
        <v>9.7497999999999994E-5</v>
      </c>
      <c r="D15" s="3">
        <v>9.8431000000000007E-5</v>
      </c>
      <c r="E15" s="3">
        <v>9.8896999999999999E-5</v>
      </c>
      <c r="F15" s="3">
        <v>9.8431000000000007E-5</v>
      </c>
      <c r="G15" s="3">
        <v>9.8898000000000001E-5</v>
      </c>
      <c r="H15" s="3">
        <v>9.8431000000000007E-5</v>
      </c>
      <c r="I15" s="3">
        <v>9.8898000000000001E-5</v>
      </c>
      <c r="J15" s="3">
        <v>9.7497999999999994E-5</v>
      </c>
      <c r="K15" s="3">
        <v>9.7497999999999994E-5</v>
      </c>
    </row>
    <row r="16" spans="1:11" x14ac:dyDescent="0.25">
      <c r="A16" t="s">
        <v>18</v>
      </c>
      <c r="B16" s="3">
        <v>1.15225E-4</v>
      </c>
      <c r="C16" s="3">
        <v>1.04496E-4</v>
      </c>
      <c r="D16" s="3">
        <v>1.03562E-4</v>
      </c>
      <c r="E16" s="3">
        <v>1.03096E-4</v>
      </c>
      <c r="F16" s="3">
        <v>1.0449499999999999E-4</v>
      </c>
      <c r="G16" s="3">
        <v>1.0449499999999999E-4</v>
      </c>
      <c r="H16" s="3">
        <v>1.06828E-4</v>
      </c>
      <c r="I16" s="3">
        <v>1.03096E-4</v>
      </c>
      <c r="J16" s="3">
        <v>1.03096E-4</v>
      </c>
      <c r="K16" s="3">
        <v>1.05429E-4</v>
      </c>
    </row>
    <row r="17" spans="1:11" x14ac:dyDescent="0.25">
      <c r="A17" t="s">
        <v>19</v>
      </c>
      <c r="B17" s="3">
        <v>1.71671E-4</v>
      </c>
      <c r="C17" s="3">
        <v>1.5021199999999999E-4</v>
      </c>
      <c r="D17" s="3">
        <v>1.4741299999999999E-4</v>
      </c>
      <c r="E17" s="3">
        <v>1.5114499999999999E-4</v>
      </c>
      <c r="F17" s="3">
        <v>1.49746E-4</v>
      </c>
      <c r="G17" s="3">
        <v>1.49746E-4</v>
      </c>
      <c r="H17" s="3">
        <v>1.53012E-4</v>
      </c>
      <c r="I17" s="3">
        <v>1.4694600000000001E-4</v>
      </c>
      <c r="J17" s="3">
        <v>1.4834599999999999E-4</v>
      </c>
      <c r="K17" s="3">
        <v>1.46947E-4</v>
      </c>
    </row>
    <row r="18" spans="1:11" x14ac:dyDescent="0.25">
      <c r="A18" t="s">
        <v>20</v>
      </c>
      <c r="B18" s="3">
        <v>1.17558E-4</v>
      </c>
      <c r="C18" s="3">
        <v>1.14759E-4</v>
      </c>
      <c r="D18" s="3">
        <v>1.14759E-4</v>
      </c>
      <c r="E18" s="3">
        <v>1.14759E-4</v>
      </c>
      <c r="F18" s="3">
        <v>1.20357E-4</v>
      </c>
      <c r="G18" s="3">
        <v>1.14292E-4</v>
      </c>
      <c r="H18" s="3">
        <v>1.14292E-4</v>
      </c>
      <c r="I18" s="3">
        <v>1.13826E-4</v>
      </c>
      <c r="J18" s="3">
        <v>1.15225E-4</v>
      </c>
      <c r="K18" s="3">
        <v>1.23156E-4</v>
      </c>
    </row>
    <row r="19" spans="1:11" x14ac:dyDescent="0.25">
      <c r="A19" t="s">
        <v>21</v>
      </c>
      <c r="B19" s="3">
        <v>1.7260000000000001E-5</v>
      </c>
      <c r="C19" s="3">
        <v>2.7056999999999999E-5</v>
      </c>
      <c r="D19" s="3">
        <v>2.6123999999999999E-5</v>
      </c>
      <c r="E19" s="3">
        <v>1.1195E-5</v>
      </c>
      <c r="F19" s="3">
        <v>1.0730000000000001E-5</v>
      </c>
      <c r="G19" s="3">
        <v>1.0729E-5</v>
      </c>
      <c r="H19" s="3">
        <v>1.0263E-5</v>
      </c>
      <c r="I19" s="3">
        <v>1.0263E-5</v>
      </c>
      <c r="J19" s="3">
        <v>1.0730000000000001E-5</v>
      </c>
      <c r="K19" s="3">
        <v>1.0730000000000001E-5</v>
      </c>
    </row>
    <row r="20" spans="1:11" x14ac:dyDescent="0.25">
      <c r="A20" t="s">
        <v>22</v>
      </c>
      <c r="B20" s="3">
        <v>2.0805899999999999E-4</v>
      </c>
      <c r="C20" s="3">
        <v>1.6887200000000001E-4</v>
      </c>
      <c r="D20" s="3">
        <v>1.6840599999999999E-4</v>
      </c>
      <c r="E20" s="3">
        <v>1.7027200000000001E-4</v>
      </c>
      <c r="F20" s="3">
        <v>1.66539E-4</v>
      </c>
      <c r="G20" s="3">
        <v>1.6887200000000001E-4</v>
      </c>
      <c r="H20" s="3">
        <v>1.6887200000000001E-4</v>
      </c>
      <c r="I20" s="3">
        <v>1.7027200000000001E-4</v>
      </c>
      <c r="J20" s="3">
        <v>1.6793900000000001E-4</v>
      </c>
      <c r="K20" s="3">
        <v>1.67472E-4</v>
      </c>
    </row>
    <row r="21" spans="1:11" x14ac:dyDescent="0.25">
      <c r="A21" t="s">
        <v>23</v>
      </c>
      <c r="B21" s="3">
        <v>1.6094199999999999E-4</v>
      </c>
      <c r="C21" s="3">
        <v>1.4041600000000001E-4</v>
      </c>
      <c r="D21" s="3">
        <v>1.39949E-4</v>
      </c>
      <c r="E21" s="3">
        <v>1.3948300000000001E-4</v>
      </c>
      <c r="F21" s="3">
        <v>1.40882E-4</v>
      </c>
      <c r="G21" s="3">
        <v>1.4041600000000001E-4</v>
      </c>
      <c r="H21" s="3">
        <v>1.39949E-4</v>
      </c>
      <c r="I21" s="3">
        <v>1.39016E-4</v>
      </c>
      <c r="J21" s="3">
        <v>1.4041499999999999E-4</v>
      </c>
      <c r="K21" s="3">
        <v>1.43215E-4</v>
      </c>
    </row>
    <row r="22" spans="1:11" x14ac:dyDescent="0.25">
      <c r="A22" t="s">
        <v>24</v>
      </c>
      <c r="B22" s="3">
        <v>2.3698100000000001E-4</v>
      </c>
      <c r="C22" s="3">
        <v>2.2998300000000001E-4</v>
      </c>
      <c r="D22" s="3">
        <v>2.2765099999999999E-4</v>
      </c>
      <c r="E22" s="3">
        <v>2.3231599999999999E-4</v>
      </c>
      <c r="F22" s="3">
        <v>3.1208700000000001E-4</v>
      </c>
      <c r="G22" s="3">
        <v>2.4771E-4</v>
      </c>
      <c r="H22" s="3">
        <v>2.49576E-4</v>
      </c>
      <c r="I22" s="3">
        <v>2.4631099999999998E-4</v>
      </c>
      <c r="J22" s="3">
        <v>2.4257900000000001E-4</v>
      </c>
      <c r="K22" s="3">
        <v>2.4397899999999999E-4</v>
      </c>
    </row>
    <row r="23" spans="1:11" x14ac:dyDescent="0.25">
      <c r="A23" t="s">
        <v>25</v>
      </c>
      <c r="B23" s="3">
        <v>2.99492E-4</v>
      </c>
      <c r="C23" s="3">
        <v>4.3897499999999998E-4</v>
      </c>
      <c r="D23" s="3">
        <v>2.9902500000000002E-4</v>
      </c>
      <c r="E23" s="3">
        <v>4.6836399999999998E-4</v>
      </c>
      <c r="F23" s="3">
        <v>4.5297000000000002E-4</v>
      </c>
      <c r="G23" s="3">
        <v>4.6230000000000002E-4</v>
      </c>
      <c r="H23" s="3">
        <v>4.64165E-4</v>
      </c>
      <c r="I23" s="3">
        <v>4.58567E-4</v>
      </c>
      <c r="J23" s="3">
        <v>4.65098E-4</v>
      </c>
      <c r="K23" s="3">
        <v>2.9809200000000002E-4</v>
      </c>
    </row>
    <row r="24" spans="1:11" x14ac:dyDescent="0.25">
      <c r="A24" t="s">
        <v>26</v>
      </c>
      <c r="B24" s="3">
        <v>2.2998300000000001E-4</v>
      </c>
      <c r="C24" s="3">
        <v>2.22053E-4</v>
      </c>
      <c r="D24" s="3">
        <v>2.22053E-4</v>
      </c>
      <c r="E24" s="3">
        <v>2.17388E-4</v>
      </c>
      <c r="F24" s="3">
        <v>2.3651499999999999E-4</v>
      </c>
      <c r="G24" s="3">
        <v>2.29051E-4</v>
      </c>
      <c r="H24" s="3">
        <v>2.1785500000000001E-4</v>
      </c>
      <c r="I24" s="3">
        <v>2.1878800000000001E-4</v>
      </c>
      <c r="J24" s="3">
        <v>2.3278200000000001E-4</v>
      </c>
      <c r="K24" s="3">
        <v>2.2485199999999999E-4</v>
      </c>
    </row>
    <row r="25" spans="1:11" x14ac:dyDescent="0.25">
      <c r="A25" t="s">
        <v>27</v>
      </c>
      <c r="B25" s="3">
        <v>2.5470799999999997E-4</v>
      </c>
      <c r="C25" s="3">
        <v>2.2811700000000001E-4</v>
      </c>
      <c r="D25" s="3">
        <v>2.4724399999999998E-4</v>
      </c>
      <c r="E25" s="3">
        <v>3.0228999999999998E-4</v>
      </c>
      <c r="F25" s="3">
        <v>2.5610699999999999E-4</v>
      </c>
      <c r="G25" s="3">
        <v>3.19551E-4</v>
      </c>
      <c r="H25" s="3">
        <v>2.35582E-4</v>
      </c>
      <c r="I25" s="3">
        <v>2.2858399999999999E-4</v>
      </c>
      <c r="J25" s="3">
        <v>2.13656E-4</v>
      </c>
      <c r="K25" s="3">
        <v>2.15522E-4</v>
      </c>
    </row>
    <row r="26" spans="1:11" x14ac:dyDescent="0.25">
      <c r="A26" t="s">
        <v>28</v>
      </c>
      <c r="B26" s="3">
        <v>2.7569999999999998E-4</v>
      </c>
      <c r="C26" s="3">
        <v>2.6217200000000002E-4</v>
      </c>
      <c r="D26" s="3">
        <v>2.5984000000000001E-4</v>
      </c>
      <c r="E26" s="3">
        <v>2.5237600000000001E-4</v>
      </c>
      <c r="F26" s="3">
        <v>2.5610800000000001E-4</v>
      </c>
      <c r="G26" s="3">
        <v>2.5284199999999998E-4</v>
      </c>
      <c r="H26" s="3">
        <v>2.5330900000000001E-4</v>
      </c>
      <c r="I26" s="3">
        <v>2.5517399999999999E-4</v>
      </c>
      <c r="J26" s="3">
        <v>2.43978E-4</v>
      </c>
      <c r="K26" s="3">
        <v>2.3978000000000001E-4</v>
      </c>
    </row>
    <row r="27" spans="1:11" x14ac:dyDescent="0.25">
      <c r="A27" t="s">
        <v>29</v>
      </c>
      <c r="B27" s="3">
        <v>2.9249400000000002E-4</v>
      </c>
      <c r="C27" s="3">
        <v>2.7896600000000001E-4</v>
      </c>
      <c r="D27" s="3">
        <v>2.67304E-4</v>
      </c>
      <c r="E27" s="3">
        <v>2.7056900000000002E-4</v>
      </c>
      <c r="F27" s="3">
        <v>2.7196799999999998E-4</v>
      </c>
      <c r="G27" s="3">
        <v>2.68237E-4</v>
      </c>
      <c r="H27" s="3">
        <v>2.6497000000000001E-4</v>
      </c>
      <c r="I27" s="3">
        <v>2.6217200000000002E-4</v>
      </c>
      <c r="J27" s="3">
        <v>2.6403800000000002E-4</v>
      </c>
      <c r="K27" s="3">
        <v>2.66836E-4</v>
      </c>
    </row>
    <row r="28" spans="1:11" x14ac:dyDescent="0.25">
      <c r="A28" t="s">
        <v>30</v>
      </c>
      <c r="B28" s="3">
        <v>2.7849899999999998E-4</v>
      </c>
      <c r="C28" s="3">
        <v>2.6310500000000002E-4</v>
      </c>
      <c r="D28" s="3">
        <v>2.5844000000000003E-4</v>
      </c>
      <c r="E28" s="3">
        <v>2.5330799999999999E-4</v>
      </c>
      <c r="F28" s="3">
        <v>2.5190899999999998E-4</v>
      </c>
      <c r="G28" s="3">
        <v>2.4724300000000002E-4</v>
      </c>
      <c r="H28" s="3">
        <v>2.5517399999999999E-4</v>
      </c>
      <c r="I28" s="3">
        <v>2.6077300000000001E-4</v>
      </c>
      <c r="J28" s="3">
        <v>2.5330799999999999E-4</v>
      </c>
      <c r="K28" s="3">
        <v>2.5517399999999999E-4</v>
      </c>
    </row>
    <row r="30" spans="1:11" x14ac:dyDescent="0.25">
      <c r="A30" t="s">
        <v>3</v>
      </c>
      <c r="B30" s="3">
        <v>7.9310000000000008E-6</v>
      </c>
      <c r="C30" s="3">
        <v>7.464E-6</v>
      </c>
      <c r="D30" s="3">
        <v>6.9979999999999997E-6</v>
      </c>
      <c r="E30" s="3">
        <v>7.464E-6</v>
      </c>
      <c r="F30" s="3">
        <v>7.9300000000000003E-6</v>
      </c>
      <c r="G30" s="3">
        <v>7.464E-6</v>
      </c>
      <c r="H30" s="3">
        <v>7.464E-6</v>
      </c>
      <c r="I30" s="3">
        <v>6.9979999999999997E-6</v>
      </c>
      <c r="J30" s="3">
        <v>6.9970000000000001E-6</v>
      </c>
      <c r="K30" s="3">
        <v>6.9970000000000001E-6</v>
      </c>
    </row>
    <row r="31" spans="1:11" x14ac:dyDescent="0.25">
      <c r="A31" t="s">
        <v>4</v>
      </c>
      <c r="B31" s="3">
        <v>8.8629999999999997E-6</v>
      </c>
      <c r="C31" s="3">
        <v>7.9300000000000003E-6</v>
      </c>
      <c r="D31" s="3">
        <v>8.3969999999999994E-6</v>
      </c>
      <c r="E31" s="3">
        <v>8.3969999999999994E-6</v>
      </c>
      <c r="F31" s="3">
        <v>8.3969999999999994E-6</v>
      </c>
      <c r="G31" s="3">
        <v>8.3969999999999994E-6</v>
      </c>
      <c r="H31" s="3">
        <v>7.9310000000000008E-6</v>
      </c>
      <c r="I31" s="3">
        <v>8.3969999999999994E-6</v>
      </c>
      <c r="J31" s="3">
        <v>8.3969999999999994E-6</v>
      </c>
      <c r="K31" s="3">
        <v>7.9300000000000003E-6</v>
      </c>
    </row>
    <row r="32" spans="1:11" x14ac:dyDescent="0.25">
      <c r="A32" t="s">
        <v>5</v>
      </c>
      <c r="B32" s="3">
        <v>5.1309999999999997E-6</v>
      </c>
      <c r="C32" s="3">
        <v>5.5979999999999996E-6</v>
      </c>
      <c r="D32" s="3">
        <v>5.1320000000000002E-6</v>
      </c>
      <c r="E32" s="3">
        <v>5.5979999999999996E-6</v>
      </c>
      <c r="F32" s="3">
        <v>5.1320000000000002E-6</v>
      </c>
      <c r="G32" s="3">
        <v>6.5309999999999998E-6</v>
      </c>
      <c r="H32" s="3">
        <v>8.8629999999999997E-6</v>
      </c>
      <c r="I32" s="3">
        <v>6.5309999999999998E-6</v>
      </c>
      <c r="J32" s="3">
        <v>7.9300000000000003E-6</v>
      </c>
      <c r="K32" s="3">
        <v>6.0639999999999999E-6</v>
      </c>
    </row>
    <row r="33" spans="1:11" x14ac:dyDescent="0.25">
      <c r="A33" t="s">
        <v>6</v>
      </c>
      <c r="B33" s="3">
        <v>9.7960000000000007E-6</v>
      </c>
      <c r="C33" s="3">
        <v>1.0263E-5</v>
      </c>
      <c r="D33" s="3">
        <v>1.0263E-5</v>
      </c>
      <c r="E33" s="3">
        <v>1.3995000000000001E-5</v>
      </c>
      <c r="F33" s="3">
        <v>1.3062E-5</v>
      </c>
      <c r="G33" s="3">
        <v>1.0729E-5</v>
      </c>
      <c r="H33" s="3">
        <v>1.0730000000000001E-5</v>
      </c>
      <c r="I33" s="3">
        <v>1.0730000000000001E-5</v>
      </c>
      <c r="J33" s="3">
        <v>1.0729E-5</v>
      </c>
      <c r="K33" s="3">
        <v>1.0730000000000001E-5</v>
      </c>
    </row>
    <row r="34" spans="1:11" x14ac:dyDescent="0.25">
      <c r="A34" t="s">
        <v>7</v>
      </c>
      <c r="B34" s="3">
        <v>9.3300000000000005E-6</v>
      </c>
      <c r="C34" s="3">
        <v>7.9310000000000008E-6</v>
      </c>
      <c r="D34" s="3">
        <v>9.7969999999999995E-6</v>
      </c>
      <c r="E34" s="3">
        <v>1.0730000000000001E-5</v>
      </c>
      <c r="F34" s="3">
        <v>8.3969999999999994E-6</v>
      </c>
      <c r="G34" s="3">
        <v>7.464E-6</v>
      </c>
      <c r="H34" s="3">
        <v>7.464E-6</v>
      </c>
      <c r="I34" s="3">
        <v>6.9970000000000001E-6</v>
      </c>
      <c r="J34" s="3">
        <v>6.9979999999999997E-6</v>
      </c>
      <c r="K34" s="3">
        <v>6.9970000000000001E-6</v>
      </c>
    </row>
    <row r="35" spans="1:11" x14ac:dyDescent="0.25">
      <c r="A35" t="s">
        <v>8</v>
      </c>
      <c r="B35" s="3">
        <v>5.1320000000000002E-6</v>
      </c>
      <c r="C35" s="3">
        <v>4.6650000000000002E-6</v>
      </c>
      <c r="D35" s="3">
        <v>4.1989999999999999E-6</v>
      </c>
      <c r="E35" s="3">
        <v>4.6650000000000002E-6</v>
      </c>
      <c r="F35" s="3">
        <v>6.0650000000000004E-6</v>
      </c>
      <c r="G35" s="3">
        <v>5.1309999999999997E-6</v>
      </c>
      <c r="H35" s="3">
        <v>5.1320000000000002E-6</v>
      </c>
      <c r="I35" s="3">
        <v>4.6650000000000002E-6</v>
      </c>
      <c r="J35" s="3">
        <v>5.5979999999999996E-6</v>
      </c>
      <c r="K35" s="3">
        <v>5.1320000000000002E-6</v>
      </c>
    </row>
    <row r="36" spans="1:11" x14ac:dyDescent="0.25">
      <c r="A36" t="s">
        <v>9</v>
      </c>
      <c r="B36" s="3">
        <v>1.1661999999999999E-5</v>
      </c>
      <c r="C36" s="3">
        <v>1.0729E-5</v>
      </c>
      <c r="D36" s="3">
        <v>9.7969999999999995E-6</v>
      </c>
      <c r="E36" s="3">
        <v>9.7969999999999995E-6</v>
      </c>
      <c r="F36" s="3">
        <v>9.7960000000000007E-6</v>
      </c>
      <c r="G36" s="3">
        <v>9.7969999999999995E-6</v>
      </c>
      <c r="H36" s="3">
        <v>9.7960000000000007E-6</v>
      </c>
      <c r="I36" s="3">
        <v>9.7960000000000007E-6</v>
      </c>
      <c r="J36" s="3">
        <v>1.0263E-5</v>
      </c>
      <c r="K36" s="3">
        <v>1.0263E-5</v>
      </c>
    </row>
    <row r="37" spans="1:11" x14ac:dyDescent="0.25">
      <c r="A37" t="s">
        <v>10</v>
      </c>
      <c r="B37" s="3">
        <v>6.0639999999999999E-6</v>
      </c>
      <c r="C37" s="3">
        <v>5.5979999999999996E-6</v>
      </c>
      <c r="D37" s="3">
        <v>1.2595000000000001E-5</v>
      </c>
      <c r="E37" s="3">
        <v>5.5979999999999996E-6</v>
      </c>
      <c r="F37" s="3">
        <v>5.5979999999999996E-6</v>
      </c>
      <c r="G37" s="3">
        <v>5.5979999999999996E-6</v>
      </c>
      <c r="H37" s="3">
        <v>5.1309999999999997E-6</v>
      </c>
      <c r="I37" s="3">
        <v>5.5979999999999996E-6</v>
      </c>
      <c r="J37" s="3">
        <v>5.1309999999999997E-6</v>
      </c>
      <c r="K37" s="3">
        <v>5.5979999999999996E-6</v>
      </c>
    </row>
    <row r="38" spans="1:11" x14ac:dyDescent="0.25">
      <c r="A38" t="s">
        <v>11</v>
      </c>
      <c r="B38" s="3">
        <v>1.2595999999999999E-5</v>
      </c>
      <c r="C38" s="3">
        <v>1.0263E-5</v>
      </c>
      <c r="D38" s="3">
        <v>1.5395000000000001E-5</v>
      </c>
      <c r="E38" s="3">
        <v>1.1195999999999999E-5</v>
      </c>
      <c r="F38" s="3">
        <v>9.7960000000000007E-6</v>
      </c>
      <c r="G38" s="3">
        <v>9.7960000000000007E-6</v>
      </c>
      <c r="H38" s="3">
        <v>9.7960000000000007E-6</v>
      </c>
      <c r="I38" s="3">
        <v>9.7969999999999995E-6</v>
      </c>
      <c r="J38" s="3">
        <v>9.7960000000000007E-6</v>
      </c>
      <c r="K38" s="3">
        <v>8.8640000000000002E-6</v>
      </c>
    </row>
    <row r="39" spans="1:11" x14ac:dyDescent="0.25">
      <c r="A39" t="s">
        <v>12</v>
      </c>
      <c r="B39" s="3">
        <v>1.1663E-5</v>
      </c>
      <c r="C39" s="3">
        <v>1.0263E-5</v>
      </c>
      <c r="D39" s="3">
        <v>9.7969999999999995E-6</v>
      </c>
      <c r="E39" s="3">
        <v>9.3300000000000005E-6</v>
      </c>
      <c r="F39" s="3">
        <v>9.7960000000000007E-6</v>
      </c>
      <c r="G39" s="3">
        <v>9.3300000000000005E-6</v>
      </c>
      <c r="H39" s="3">
        <v>9.7969999999999995E-6</v>
      </c>
      <c r="I39" s="3">
        <v>1.4460999999999999E-5</v>
      </c>
      <c r="J39" s="3">
        <v>1.1195999999999999E-5</v>
      </c>
      <c r="K39" s="3">
        <v>1.0263E-5</v>
      </c>
    </row>
    <row r="40" spans="1:11" x14ac:dyDescent="0.25">
      <c r="A40" t="s">
        <v>13</v>
      </c>
      <c r="B40" s="3">
        <v>1.5393999999999999E-5</v>
      </c>
      <c r="C40" s="3">
        <v>1.6327000000000001E-5</v>
      </c>
      <c r="D40" s="3">
        <v>1.6327000000000001E-5</v>
      </c>
      <c r="E40" s="3">
        <v>1.8193E-5</v>
      </c>
      <c r="F40" s="3">
        <v>1.9126E-5</v>
      </c>
      <c r="G40" s="3">
        <v>2.3791999999999999E-5</v>
      </c>
      <c r="H40" s="3">
        <v>1.6793999999999999E-5</v>
      </c>
      <c r="I40" s="3">
        <v>1.5860999999999999E-5</v>
      </c>
      <c r="J40" s="3">
        <v>1.5393999999999999E-5</v>
      </c>
      <c r="K40" s="3">
        <v>1.5860999999999999E-5</v>
      </c>
    </row>
    <row r="41" spans="1:11" x14ac:dyDescent="0.25">
      <c r="A41" t="s">
        <v>14</v>
      </c>
      <c r="B41" s="3">
        <v>1.7727000000000002E-5</v>
      </c>
      <c r="C41" s="3">
        <v>1.5860999999999999E-5</v>
      </c>
      <c r="D41" s="3">
        <v>1.5395000000000001E-5</v>
      </c>
      <c r="E41" s="3">
        <v>1.5393999999999999E-5</v>
      </c>
      <c r="F41" s="3">
        <v>1.5860999999999999E-5</v>
      </c>
      <c r="G41" s="3">
        <v>1.5860999999999999E-5</v>
      </c>
      <c r="H41" s="3">
        <v>1.5860999999999999E-5</v>
      </c>
      <c r="I41" s="3">
        <v>1.5395000000000001E-5</v>
      </c>
      <c r="J41" s="3">
        <v>1.6328E-5</v>
      </c>
      <c r="K41" s="3">
        <v>1.6327000000000001E-5</v>
      </c>
    </row>
    <row r="42" spans="1:11" x14ac:dyDescent="0.25">
      <c r="A42" t="s">
        <v>15</v>
      </c>
      <c r="B42" s="3">
        <v>1.5860999999999999E-5</v>
      </c>
      <c r="C42" s="3">
        <v>1.5860999999999999E-5</v>
      </c>
      <c r="D42" s="3">
        <v>1.3529E-5</v>
      </c>
      <c r="E42" s="3">
        <v>1.8660000000000001E-5</v>
      </c>
      <c r="F42" s="3">
        <v>1.2595999999999999E-5</v>
      </c>
      <c r="G42" s="3">
        <v>1.2595000000000001E-5</v>
      </c>
      <c r="H42" s="3">
        <v>1.2595999999999999E-5</v>
      </c>
      <c r="I42" s="3">
        <v>1.2595000000000001E-5</v>
      </c>
      <c r="J42" s="3">
        <v>1.2129E-5</v>
      </c>
      <c r="K42" s="3">
        <v>1.2595000000000001E-5</v>
      </c>
    </row>
    <row r="43" spans="1:11" x14ac:dyDescent="0.25">
      <c r="A43" t="s">
        <v>16</v>
      </c>
      <c r="B43" s="3">
        <v>2.2391999999999998E-5</v>
      </c>
      <c r="C43" s="3">
        <v>1.8193999999999999E-5</v>
      </c>
      <c r="D43" s="3">
        <v>1.8193999999999999E-5</v>
      </c>
      <c r="E43" s="3">
        <v>1.7727000000000002E-5</v>
      </c>
      <c r="F43" s="3">
        <v>1.7727000000000002E-5</v>
      </c>
      <c r="G43" s="3">
        <v>1.7725999999999999E-5</v>
      </c>
      <c r="H43" s="3">
        <v>2.0992000000000002E-5</v>
      </c>
      <c r="I43" s="3">
        <v>1.8193E-5</v>
      </c>
      <c r="J43" s="3">
        <v>1.7727000000000002E-5</v>
      </c>
      <c r="K43" s="3">
        <v>1.7727000000000002E-5</v>
      </c>
    </row>
    <row r="44" spans="1:11" x14ac:dyDescent="0.25">
      <c r="A44" t="s">
        <v>17</v>
      </c>
      <c r="B44" s="3">
        <v>1.8660000000000001E-5</v>
      </c>
      <c r="C44" s="3">
        <v>1.3062E-5</v>
      </c>
      <c r="D44" s="3">
        <v>1.3062E-5</v>
      </c>
      <c r="E44" s="3">
        <v>1.2595000000000001E-5</v>
      </c>
      <c r="F44" s="3">
        <v>1.3062E-5</v>
      </c>
      <c r="G44" s="3">
        <v>1.2595000000000001E-5</v>
      </c>
      <c r="H44" s="3">
        <v>1.2595000000000001E-5</v>
      </c>
      <c r="I44" s="3">
        <v>1.2595000000000001E-5</v>
      </c>
      <c r="J44" s="3">
        <v>1.2595999999999999E-5</v>
      </c>
      <c r="K44" s="3">
        <v>1.3062E-5</v>
      </c>
    </row>
    <row r="45" spans="1:11" x14ac:dyDescent="0.25">
      <c r="A45" t="s">
        <v>18</v>
      </c>
      <c r="B45" s="3">
        <v>1.9126E-5</v>
      </c>
      <c r="C45" s="3">
        <v>2.1458999999999999E-5</v>
      </c>
      <c r="D45" s="3">
        <v>1.3994E-5</v>
      </c>
      <c r="E45" s="3">
        <v>1.3062E-5</v>
      </c>
      <c r="F45" s="3">
        <v>1.3062E-5</v>
      </c>
      <c r="G45" s="3">
        <v>1.3528E-5</v>
      </c>
      <c r="H45" s="3">
        <v>1.2129E-5</v>
      </c>
      <c r="I45" s="3">
        <v>1.3062E-5</v>
      </c>
      <c r="J45" s="3">
        <v>1.3062E-5</v>
      </c>
      <c r="K45" s="3">
        <v>1.3529E-5</v>
      </c>
    </row>
    <row r="46" spans="1:11" x14ac:dyDescent="0.25">
      <c r="A46" t="s">
        <v>19</v>
      </c>
      <c r="B46" s="3">
        <v>2.1925000000000001E-5</v>
      </c>
      <c r="C46" s="3">
        <v>3.4054999999999998E-5</v>
      </c>
      <c r="D46" s="3">
        <v>2.0060000000000001E-5</v>
      </c>
      <c r="E46" s="3">
        <v>1.9126E-5</v>
      </c>
      <c r="F46" s="3">
        <v>1.9593E-5</v>
      </c>
      <c r="G46" s="3">
        <v>1.9126E-5</v>
      </c>
      <c r="H46" s="3">
        <v>1.8660000000000001E-5</v>
      </c>
      <c r="I46" s="3">
        <v>1.8658999999999999E-5</v>
      </c>
      <c r="J46" s="3">
        <v>1.9126E-5</v>
      </c>
      <c r="K46" s="3">
        <v>1.7727000000000002E-5</v>
      </c>
    </row>
    <row r="47" spans="1:11" x14ac:dyDescent="0.25">
      <c r="A47" t="s">
        <v>20</v>
      </c>
      <c r="B47" s="3">
        <v>1.4928E-5</v>
      </c>
      <c r="C47" s="3">
        <v>1.3995000000000001E-5</v>
      </c>
      <c r="D47" s="3">
        <v>1.3995000000000001E-5</v>
      </c>
      <c r="E47" s="3">
        <v>1.3529E-5</v>
      </c>
      <c r="F47" s="3">
        <v>1.7261E-5</v>
      </c>
      <c r="G47" s="3">
        <v>1.5393999999999999E-5</v>
      </c>
      <c r="H47" s="3">
        <v>2.1926E-5</v>
      </c>
      <c r="I47" s="3">
        <v>1.5393999999999999E-5</v>
      </c>
      <c r="J47" s="3">
        <v>1.4928E-5</v>
      </c>
      <c r="K47" s="3">
        <v>1.4928E-5</v>
      </c>
    </row>
    <row r="48" spans="1:11" x14ac:dyDescent="0.25">
      <c r="A48" t="s">
        <v>21</v>
      </c>
      <c r="B48" s="3">
        <v>9.33E-7</v>
      </c>
      <c r="C48" s="3">
        <v>1.3999999999999999E-6</v>
      </c>
      <c r="D48" s="3">
        <v>1.3990000000000001E-6</v>
      </c>
      <c r="E48" s="3">
        <v>1.3990000000000001E-6</v>
      </c>
      <c r="F48" s="3">
        <v>1.3990000000000001E-6</v>
      </c>
      <c r="G48" s="3">
        <v>9.33E-7</v>
      </c>
      <c r="H48" s="3">
        <v>1.3999999999999999E-6</v>
      </c>
      <c r="I48" s="3">
        <v>9.33E-7</v>
      </c>
      <c r="J48" s="3">
        <v>9.33E-7</v>
      </c>
      <c r="K48" s="3">
        <v>1.3990000000000001E-6</v>
      </c>
    </row>
    <row r="49" spans="1:11" x14ac:dyDescent="0.25">
      <c r="A49" t="s">
        <v>22</v>
      </c>
      <c r="B49" s="3">
        <v>2.7990000000000001E-5</v>
      </c>
      <c r="C49" s="3">
        <v>2.4258000000000001E-5</v>
      </c>
      <c r="D49" s="3">
        <v>2.2391999999999998E-5</v>
      </c>
      <c r="E49" s="3">
        <v>2.2391E-5</v>
      </c>
      <c r="F49" s="3">
        <v>2.4258000000000001E-5</v>
      </c>
      <c r="G49" s="3">
        <v>2.1925000000000001E-5</v>
      </c>
      <c r="H49" s="3">
        <v>2.1458999999999999E-5</v>
      </c>
      <c r="I49" s="3">
        <v>2.1458999999999999E-5</v>
      </c>
      <c r="J49" s="3">
        <v>2.1458999999999999E-5</v>
      </c>
      <c r="K49" s="3">
        <v>2.7523999999999999E-5</v>
      </c>
    </row>
    <row r="50" spans="1:11" x14ac:dyDescent="0.25">
      <c r="A50" t="s">
        <v>23</v>
      </c>
      <c r="B50" s="3">
        <v>2.1926E-5</v>
      </c>
      <c r="C50" s="3">
        <v>1.8193999999999999E-5</v>
      </c>
      <c r="D50" s="3">
        <v>1.7727000000000002E-5</v>
      </c>
      <c r="E50" s="3">
        <v>3.4054000000000003E-5</v>
      </c>
      <c r="F50" s="3">
        <v>2.5191E-5</v>
      </c>
      <c r="G50" s="3">
        <v>2.5190000000000001E-5</v>
      </c>
      <c r="H50" s="3">
        <v>2.6591E-5</v>
      </c>
      <c r="I50" s="3">
        <v>2.1458999999999999E-5</v>
      </c>
      <c r="J50" s="3">
        <v>2.0526E-5</v>
      </c>
      <c r="K50" s="3">
        <v>2.0526E-5</v>
      </c>
    </row>
    <row r="51" spans="1:11" x14ac:dyDescent="0.25">
      <c r="A51" t="s">
        <v>24</v>
      </c>
      <c r="B51" s="3">
        <v>3.3120999999999997E-5</v>
      </c>
      <c r="C51" s="3">
        <v>3.0323000000000001E-5</v>
      </c>
      <c r="D51" s="3">
        <v>3.3587999999999998E-5</v>
      </c>
      <c r="E51" s="3">
        <v>2.7056999999999999E-5</v>
      </c>
      <c r="F51" s="3">
        <v>2.7056999999999999E-5</v>
      </c>
      <c r="G51" s="3">
        <v>2.7523000000000001E-5</v>
      </c>
      <c r="H51" s="3">
        <v>2.9390000000000002E-5</v>
      </c>
      <c r="I51" s="3">
        <v>2.9390000000000002E-5</v>
      </c>
      <c r="J51" s="3">
        <v>4.1517999999999998E-5</v>
      </c>
      <c r="K51" s="3">
        <v>3.0323000000000001E-5</v>
      </c>
    </row>
    <row r="52" spans="1:11" x14ac:dyDescent="0.25">
      <c r="A52" t="s">
        <v>25</v>
      </c>
      <c r="B52" s="3">
        <v>4.1519E-5</v>
      </c>
      <c r="C52" s="3">
        <v>3.3120999999999997E-5</v>
      </c>
      <c r="D52" s="3">
        <v>3.3120999999999997E-5</v>
      </c>
      <c r="E52" s="3">
        <v>3.3120999999999997E-5</v>
      </c>
      <c r="F52" s="3">
        <v>3.3120999999999997E-5</v>
      </c>
      <c r="G52" s="3">
        <v>3.0323000000000001E-5</v>
      </c>
      <c r="H52" s="3">
        <v>3.0323000000000001E-5</v>
      </c>
      <c r="I52" s="3">
        <v>3.0787999999999997E-5</v>
      </c>
      <c r="J52" s="3">
        <v>3.4987999999999998E-5</v>
      </c>
      <c r="K52" s="3">
        <v>3.1256E-5</v>
      </c>
    </row>
    <row r="53" spans="1:11" x14ac:dyDescent="0.25">
      <c r="A53" t="s">
        <v>26</v>
      </c>
      <c r="B53" s="3">
        <v>3.8253000000000001E-5</v>
      </c>
      <c r="C53" s="3">
        <v>2.6123999999999999E-5</v>
      </c>
      <c r="D53" s="3">
        <v>2.5191E-5</v>
      </c>
      <c r="E53" s="3">
        <v>2.5656999999999998E-5</v>
      </c>
      <c r="F53" s="3">
        <v>2.5658000000000001E-5</v>
      </c>
      <c r="G53" s="3">
        <v>2.5190000000000001E-5</v>
      </c>
      <c r="H53" s="3">
        <v>2.5658000000000001E-5</v>
      </c>
      <c r="I53" s="3">
        <v>3.9653000000000001E-5</v>
      </c>
      <c r="J53" s="3">
        <v>2.7990000000000001E-5</v>
      </c>
      <c r="K53" s="3">
        <v>2.7056999999999999E-5</v>
      </c>
    </row>
    <row r="54" spans="1:11" x14ac:dyDescent="0.25">
      <c r="A54" t="s">
        <v>27</v>
      </c>
      <c r="B54" s="3">
        <v>3.7320000000000002E-5</v>
      </c>
      <c r="C54" s="3">
        <v>3.1254999999999998E-5</v>
      </c>
      <c r="D54" s="3">
        <v>3.4987000000000002E-5</v>
      </c>
      <c r="E54" s="3">
        <v>3.1254999999999998E-5</v>
      </c>
      <c r="F54" s="3">
        <v>3.0323000000000001E-5</v>
      </c>
      <c r="G54" s="3">
        <v>2.9388999999999999E-5</v>
      </c>
      <c r="H54" s="3">
        <v>2.7988999999999999E-5</v>
      </c>
      <c r="I54" s="3">
        <v>3.4520000000000002E-5</v>
      </c>
      <c r="J54" s="3">
        <v>2.7988999999999999E-5</v>
      </c>
      <c r="K54" s="3">
        <v>2.7990000000000001E-5</v>
      </c>
    </row>
    <row r="55" spans="1:11" x14ac:dyDescent="0.25">
      <c r="A55" t="s">
        <v>28</v>
      </c>
      <c r="B55" s="3">
        <v>5.4580999999999998E-5</v>
      </c>
      <c r="C55" s="3">
        <v>2.2391999999999998E-5</v>
      </c>
      <c r="D55" s="3">
        <v>1.9593E-5</v>
      </c>
      <c r="E55" s="3">
        <v>1.9126E-5</v>
      </c>
      <c r="F55" s="3">
        <v>1.6328E-5</v>
      </c>
      <c r="G55" s="3">
        <v>1.3061000000000001E-5</v>
      </c>
      <c r="H55" s="3">
        <v>1.2595999999999999E-5</v>
      </c>
      <c r="I55" s="3">
        <v>1.2129E-5</v>
      </c>
      <c r="J55" s="3">
        <v>1.2595999999999999E-5</v>
      </c>
      <c r="K55" s="3">
        <v>1.2129E-5</v>
      </c>
    </row>
    <row r="56" spans="1:11" x14ac:dyDescent="0.25">
      <c r="A56" t="s">
        <v>29</v>
      </c>
      <c r="B56" s="3">
        <v>1.6793999999999999E-5</v>
      </c>
      <c r="C56" s="3">
        <v>1.3528E-5</v>
      </c>
      <c r="D56" s="3">
        <v>1.3062E-5</v>
      </c>
      <c r="E56" s="3">
        <v>1.2595000000000001E-5</v>
      </c>
      <c r="F56" s="3">
        <v>1.3528E-5</v>
      </c>
      <c r="G56" s="3">
        <v>1.2595000000000001E-5</v>
      </c>
      <c r="H56" s="3">
        <v>1.3528E-5</v>
      </c>
      <c r="I56" s="3">
        <v>1.3528E-5</v>
      </c>
      <c r="J56" s="3">
        <v>1.3995000000000001E-5</v>
      </c>
      <c r="K56" s="3">
        <v>1.3529E-5</v>
      </c>
    </row>
    <row r="57" spans="1:11" x14ac:dyDescent="0.25">
      <c r="A57" t="s">
        <v>30</v>
      </c>
      <c r="B57" s="3">
        <v>1.4462E-5</v>
      </c>
      <c r="C57" s="3">
        <v>1.1661999999999999E-5</v>
      </c>
      <c r="D57" s="3">
        <v>1.1663E-5</v>
      </c>
      <c r="E57" s="3">
        <v>1.1661999999999999E-5</v>
      </c>
      <c r="F57" s="3">
        <v>1.1661999999999999E-5</v>
      </c>
      <c r="G57" s="3">
        <v>1.2595999999999999E-5</v>
      </c>
      <c r="H57" s="3">
        <v>1.2595000000000001E-5</v>
      </c>
      <c r="I57" s="3">
        <v>1.2595999999999999E-5</v>
      </c>
      <c r="J57" s="3">
        <v>1.2595999999999999E-5</v>
      </c>
      <c r="K57" s="3">
        <v>1.2595000000000001E-5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5</vt:i4>
      </vt:variant>
      <vt:variant>
        <vt:lpstr>Intervalli denominati</vt:lpstr>
      </vt:variant>
      <vt:variant>
        <vt:i4>4</vt:i4>
      </vt:variant>
    </vt:vector>
  </HeadingPairs>
  <TitlesOfParts>
    <vt:vector size="9" baseType="lpstr">
      <vt:lpstr>refined_data</vt:lpstr>
      <vt:lpstr>blocksworld</vt:lpstr>
      <vt:lpstr>depots</vt:lpstr>
      <vt:lpstr>gripper</vt:lpstr>
      <vt:lpstr>logistics</vt:lpstr>
      <vt:lpstr>blocksworld!blocksworld</vt:lpstr>
      <vt:lpstr>depots!depots</vt:lpstr>
      <vt:lpstr>gripper!gripper</vt:lpstr>
      <vt:lpstr>logistics!logistics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Grasta</dc:creator>
  <cp:lastModifiedBy>Grasta</cp:lastModifiedBy>
  <dcterms:created xsi:type="dcterms:W3CDTF">2017-11-26T20:12:59Z</dcterms:created>
  <dcterms:modified xsi:type="dcterms:W3CDTF">2017-12-05T23:38:49Z</dcterms:modified>
</cp:coreProperties>
</file>