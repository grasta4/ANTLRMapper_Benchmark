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sta\workspace\EmbASPJavaBenchmark\rsc\data\"/>
    </mc:Choice>
  </mc:AlternateContent>
  <bookViews>
    <workbookView xWindow="0" yWindow="0" windowWidth="24000" windowHeight="9510"/>
  </bookViews>
  <sheets>
    <sheet name="refined_data" sheetId="1" r:id="rId1"/>
    <sheet name="blocksworld" sheetId="2" r:id="rId2"/>
    <sheet name="depots" sheetId="3" r:id="rId3"/>
    <sheet name="gripper" sheetId="4" r:id="rId4"/>
    <sheet name="logistics" sheetId="5" r:id="rId5"/>
  </sheets>
  <definedNames>
    <definedName name="blocksworld" localSheetId="1">blocksworld!$A$1:$L$73</definedName>
    <definedName name="depots" localSheetId="2">depots!$A$1:$L$47</definedName>
    <definedName name="gripper" localSheetId="3">gripper!$A$1:$L$43</definedName>
    <definedName name="logistics" localSheetId="4">logistics!$A$1:$L$59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7" i="1" l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107" i="1" l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107" i="1" l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connections.xml><?xml version="1.0" encoding="utf-8"?>
<connections xmlns="http://schemas.openxmlformats.org/spreadsheetml/2006/main">
  <connection id="1" name="blocksworld" type="6" refreshedVersion="6" background="1" saveData="1">
    <textPr codePage="1251" sourceFile="C:\Users\Grasta\workspace\EmbASPJavaBenchmark\rsc\data\blocksworld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depots" type="6" refreshedVersion="6" background="1" saveData="1">
    <textPr codePage="1251" sourceFile="C:\Users\Grasta\workspace\EmbASPJavaBenchmark\rsc\data\depots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gripper" type="6" refreshedVersion="6" background="1" saveData="1">
    <textPr codePage="1251" sourceFile="C:\Users\Grasta\workspace\EmbASPJavaBenchmark\rsc\data\gripper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logistics" type="6" refreshedVersion="6" background="1" saveData="1">
    <textPr codePage="1251" sourceFile="C:\Users\Grasta\workspace\EmbASPJavaBenchmark\rsc\data\logistics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<sst xmlns="http://schemas.openxmlformats.org/spreadsheetml/2006/main" count="540" uniqueCount="149">
  <si>
    <t>PDDL SOLVERS</t>
  </si>
  <si>
    <t>Solver.Planning.Domains</t>
  </si>
  <si>
    <t>NEW</t>
  </si>
  <si>
    <t>OLD</t>
  </si>
  <si>
    <t>spd</t>
  </si>
  <si>
    <t>0001.out</t>
  </si>
  <si>
    <t>0002.out</t>
  </si>
  <si>
    <t>0003.out</t>
  </si>
  <si>
    <t>0004.out</t>
  </si>
  <si>
    <t>0005.out</t>
  </si>
  <si>
    <t>0006.out</t>
  </si>
  <si>
    <t>0007.out</t>
  </si>
  <si>
    <t>0008.out</t>
  </si>
  <si>
    <t>0009.out</t>
  </si>
  <si>
    <t>0010.out</t>
  </si>
  <si>
    <t>0011.out</t>
  </si>
  <si>
    <t>0012.out</t>
  </si>
  <si>
    <t>0013.out</t>
  </si>
  <si>
    <t>0014.out</t>
  </si>
  <si>
    <t>0015.out</t>
  </si>
  <si>
    <t>0016.out</t>
  </si>
  <si>
    <t>0017.out</t>
  </si>
  <si>
    <t>0018.out</t>
  </si>
  <si>
    <t>0019.out</t>
  </si>
  <si>
    <t>0020.out</t>
  </si>
  <si>
    <t>0021.out</t>
  </si>
  <si>
    <t>0022.out</t>
  </si>
  <si>
    <t>0023.out</t>
  </si>
  <si>
    <t>0024.out</t>
  </si>
  <si>
    <t>0025.out</t>
  </si>
  <si>
    <t>0026.out</t>
  </si>
  <si>
    <t>0027.out</t>
  </si>
  <si>
    <t>0028.out</t>
  </si>
  <si>
    <t>0029.out</t>
  </si>
  <si>
    <t>0030.out</t>
  </si>
  <si>
    <t>0031.out</t>
  </si>
  <si>
    <t>0032.out</t>
  </si>
  <si>
    <t>0033.out</t>
  </si>
  <si>
    <t>0034.out</t>
  </si>
  <si>
    <t>0035.out</t>
  </si>
  <si>
    <t>OLDspd</t>
  </si>
  <si>
    <t>blocksworld 0001.out</t>
  </si>
  <si>
    <t>blocksworld 0002.out</t>
  </si>
  <si>
    <t>blocksworld 0003.out</t>
  </si>
  <si>
    <t>blocksworld 0004.out</t>
  </si>
  <si>
    <t>blocksworld 0005.out</t>
  </si>
  <si>
    <t>blocksworld 0006.out</t>
  </si>
  <si>
    <t>blocksworld 0007.out</t>
  </si>
  <si>
    <t>blocksworld 0008.out</t>
  </si>
  <si>
    <t>blocksworld 0009.out</t>
  </si>
  <si>
    <t>blocksworld 0010.out</t>
  </si>
  <si>
    <t>blocksworld 0011.out</t>
  </si>
  <si>
    <t>blocksworld 0012.out</t>
  </si>
  <si>
    <t>blocksworld 0013.out</t>
  </si>
  <si>
    <t>blocksworld 0014.out</t>
  </si>
  <si>
    <t>blocksworld 0015.out</t>
  </si>
  <si>
    <t>blocksworld 0016.out</t>
  </si>
  <si>
    <t>blocksworld 0017.out</t>
  </si>
  <si>
    <t>blocksworld 0018.out</t>
  </si>
  <si>
    <t>blocksworld 0019.out</t>
  </si>
  <si>
    <t>blocksworld 0020.out</t>
  </si>
  <si>
    <t>blocksworld 0021.out</t>
  </si>
  <si>
    <t>blocksworld 0022.out</t>
  </si>
  <si>
    <t>blocksworld 0023.out</t>
  </si>
  <si>
    <t>blocksworld 0024.out</t>
  </si>
  <si>
    <t>blocksworld 0025.out</t>
  </si>
  <si>
    <t>blocksworld 0026.out</t>
  </si>
  <si>
    <t>blocksworld 0027.out</t>
  </si>
  <si>
    <t>blocksworld 0028.out</t>
  </si>
  <si>
    <t>blocksworld 0029.out</t>
  </si>
  <si>
    <t>blocksworld 0030.out</t>
  </si>
  <si>
    <t>blocksworld 0031.out</t>
  </si>
  <si>
    <t>blocksworld 0032.out</t>
  </si>
  <si>
    <t>blocksworld 0033.out</t>
  </si>
  <si>
    <t>blocksworld 0034.out</t>
  </si>
  <si>
    <t>blocksworld 0035.out</t>
  </si>
  <si>
    <t>depots 0001.out</t>
  </si>
  <si>
    <t>depots 0002.out</t>
  </si>
  <si>
    <t>depots 0003.out</t>
  </si>
  <si>
    <t>depots 0004.out</t>
  </si>
  <si>
    <t>depots 0005.out</t>
  </si>
  <si>
    <t>depots 0006.out</t>
  </si>
  <si>
    <t>depots 0007.out</t>
  </si>
  <si>
    <t>depots 0008.out</t>
  </si>
  <si>
    <t>depots 0009.out</t>
  </si>
  <si>
    <t>depots 0010.out</t>
  </si>
  <si>
    <t>depots 0011.out</t>
  </si>
  <si>
    <t>depots 0012.out</t>
  </si>
  <si>
    <t>depots 0013.out</t>
  </si>
  <si>
    <t>depots 0014.out</t>
  </si>
  <si>
    <t>depots 0015.out</t>
  </si>
  <si>
    <t>depots 0016.out</t>
  </si>
  <si>
    <t>depots 0017.out</t>
  </si>
  <si>
    <t>depots 0018.out</t>
  </si>
  <si>
    <t>depots 0019.out</t>
  </si>
  <si>
    <t>depots 0020.out</t>
  </si>
  <si>
    <t>depots 0021.out</t>
  </si>
  <si>
    <t>depots 0022.out</t>
  </si>
  <si>
    <t>gripper 0001.out</t>
  </si>
  <si>
    <t>gripper 0002.out</t>
  </si>
  <si>
    <t>gripper 0003.out</t>
  </si>
  <si>
    <t>gripper 0004.out</t>
  </si>
  <si>
    <t>gripper 0005.out</t>
  </si>
  <si>
    <t>gripper 0006.out</t>
  </si>
  <si>
    <t>gripper 0007.out</t>
  </si>
  <si>
    <t>gripper 0008.out</t>
  </si>
  <si>
    <t>gripper 0009.out</t>
  </si>
  <si>
    <t>gripper 0010.out</t>
  </si>
  <si>
    <t>gripper 0011.out</t>
  </si>
  <si>
    <t>gripper 0012.out</t>
  </si>
  <si>
    <t>gripper 0013.out</t>
  </si>
  <si>
    <t>gripper 0014.out</t>
  </si>
  <si>
    <t>gripper 0015.out</t>
  </si>
  <si>
    <t>gripper 0016.out</t>
  </si>
  <si>
    <t>gripper 0017.out</t>
  </si>
  <si>
    <t>gripper 0018.out</t>
  </si>
  <si>
    <t>gripper 0019.out</t>
  </si>
  <si>
    <t>gripper 0020.out</t>
  </si>
  <si>
    <t>logistics 0001.out</t>
  </si>
  <si>
    <t>logistics 0002.out</t>
  </si>
  <si>
    <t>logistics 0003.out</t>
  </si>
  <si>
    <t>logistics 0004.out</t>
  </si>
  <si>
    <t>logistics 0005.out</t>
  </si>
  <si>
    <t>logistics 0006.out</t>
  </si>
  <si>
    <t>logistics 0007.out</t>
  </si>
  <si>
    <t>logistics 0008.out</t>
  </si>
  <si>
    <t>logistics 0009.out</t>
  </si>
  <si>
    <t>logistics 0010.out</t>
  </si>
  <si>
    <t>logistics 0011.out</t>
  </si>
  <si>
    <t>logistics 0012.out</t>
  </si>
  <si>
    <t>logistics 0013.out</t>
  </si>
  <si>
    <t>logistics 0014.out</t>
  </si>
  <si>
    <t>logistics 0015.out</t>
  </si>
  <si>
    <t>logistics 0016.out</t>
  </si>
  <si>
    <t>logistics 0017.out</t>
  </si>
  <si>
    <t>logistics 0018.out</t>
  </si>
  <si>
    <t>logistics 0019.out</t>
  </si>
  <si>
    <t>logistics 0020.out</t>
  </si>
  <si>
    <t>logistics 0021.out</t>
  </si>
  <si>
    <t>logistics 0022.out</t>
  </si>
  <si>
    <t>logistics 0023.out</t>
  </si>
  <si>
    <t>logistics 0024.out</t>
  </si>
  <si>
    <t>logistics 0025.out</t>
  </si>
  <si>
    <t>logistics 0026.out</t>
  </si>
  <si>
    <t>logistics 0027.out</t>
  </si>
  <si>
    <t>logistics 0028.out</t>
  </si>
  <si>
    <t>Solver.Planning.Domains %-</t>
  </si>
  <si>
    <t>Sorted values %-</t>
  </si>
  <si>
    <t>Sorted values %-2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</si>
</sst>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0" xfId="0" applyNumberForma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Cactus</a:t>
            </a:r>
            <a:r>
              <a:rPr lang="it-IT" baseline="0"/>
              <a:t> plot - Solver.Planning.Domains parser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refined_data!$H$3:$H$107</c:f>
              <c:numCache>
                <c:formatCode>0.00%</c:formatCode>
                <c:ptCount val="105"/>
                <c:pt idx="0">
                  <c:v>-0.1921644217949838</c:v>
                </c:pt>
                <c:pt idx="1">
                  <c:v>-0.10709909648054453</c:v>
                </c:pt>
                <c:pt idx="2">
                  <c:v>-6.6427879006949108E-3</c:v>
                </c:pt>
                <c:pt idx="3">
                  <c:v>2.8536494754918651E-2</c:v>
                </c:pt>
                <c:pt idx="4">
                  <c:v>6.0343259802665868E-2</c:v>
                </c:pt>
                <c:pt idx="5">
                  <c:v>7.2391222456361093E-2</c:v>
                </c:pt>
                <c:pt idx="6">
                  <c:v>0.11151724864357299</c:v>
                </c:pt>
                <c:pt idx="7">
                  <c:v>0.11319853515055979</c:v>
                </c:pt>
                <c:pt idx="8">
                  <c:v>0.13635594256321529</c:v>
                </c:pt>
                <c:pt idx="9">
                  <c:v>0.16818240290774894</c:v>
                </c:pt>
                <c:pt idx="10">
                  <c:v>0.17437100006985626</c:v>
                </c:pt>
                <c:pt idx="11">
                  <c:v>0.20652377367671712</c:v>
                </c:pt>
                <c:pt idx="12">
                  <c:v>0.21321746305151168</c:v>
                </c:pt>
                <c:pt idx="13">
                  <c:v>0.21775524174274297</c:v>
                </c:pt>
                <c:pt idx="14">
                  <c:v>0.21902911192491903</c:v>
                </c:pt>
                <c:pt idx="15">
                  <c:v>0.23428040706455874</c:v>
                </c:pt>
                <c:pt idx="16">
                  <c:v>0.24225016940483285</c:v>
                </c:pt>
                <c:pt idx="17">
                  <c:v>0.24573721372089682</c:v>
                </c:pt>
                <c:pt idx="18">
                  <c:v>0.24590680679446067</c:v>
                </c:pt>
                <c:pt idx="19">
                  <c:v>0.24693947065592647</c:v>
                </c:pt>
                <c:pt idx="20">
                  <c:v>0.2473279421520217</c:v>
                </c:pt>
                <c:pt idx="21">
                  <c:v>0.24857051321199397</c:v>
                </c:pt>
                <c:pt idx="22">
                  <c:v>0.2496675951990231</c:v>
                </c:pt>
                <c:pt idx="23">
                  <c:v>0.25722968810388286</c:v>
                </c:pt>
                <c:pt idx="24">
                  <c:v>0.26757951034324107</c:v>
                </c:pt>
                <c:pt idx="25">
                  <c:v>0.2693145045476304</c:v>
                </c:pt>
                <c:pt idx="26">
                  <c:v>0.26938659199725429</c:v>
                </c:pt>
                <c:pt idx="27">
                  <c:v>0.26993715609210506</c:v>
                </c:pt>
                <c:pt idx="28">
                  <c:v>0.27218220023423828</c:v>
                </c:pt>
                <c:pt idx="29">
                  <c:v>0.27364660552716624</c:v>
                </c:pt>
                <c:pt idx="30">
                  <c:v>0.27717317220615434</c:v>
                </c:pt>
                <c:pt idx="31">
                  <c:v>0.28182252943784175</c:v>
                </c:pt>
                <c:pt idx="32">
                  <c:v>0.28237731754420542</c:v>
                </c:pt>
                <c:pt idx="33">
                  <c:v>0.28277055460024253</c:v>
                </c:pt>
                <c:pt idx="34">
                  <c:v>0.29192581143293633</c:v>
                </c:pt>
                <c:pt idx="35">
                  <c:v>0.29391860661768004</c:v>
                </c:pt>
                <c:pt idx="36">
                  <c:v>0.29679287337129207</c:v>
                </c:pt>
                <c:pt idx="37">
                  <c:v>0.29960557655707937</c:v>
                </c:pt>
                <c:pt idx="38">
                  <c:v>0.3089949578843697</c:v>
                </c:pt>
                <c:pt idx="39">
                  <c:v>0.31804003558822586</c:v>
                </c:pt>
                <c:pt idx="40">
                  <c:v>0.32169780267456199</c:v>
                </c:pt>
                <c:pt idx="41">
                  <c:v>0.32274982084098797</c:v>
                </c:pt>
                <c:pt idx="42">
                  <c:v>0.32596939544159942</c:v>
                </c:pt>
                <c:pt idx="43">
                  <c:v>0.3370906007236274</c:v>
                </c:pt>
                <c:pt idx="44">
                  <c:v>0.3379415858522184</c:v>
                </c:pt>
                <c:pt idx="45">
                  <c:v>0.33962145811892236</c:v>
                </c:pt>
                <c:pt idx="46">
                  <c:v>0.34038836301073649</c:v>
                </c:pt>
                <c:pt idx="47">
                  <c:v>0.3435221127544632</c:v>
                </c:pt>
                <c:pt idx="48">
                  <c:v>0.34808363603979664</c:v>
                </c:pt>
                <c:pt idx="49">
                  <c:v>0.34927588750060146</c:v>
                </c:pt>
                <c:pt idx="50">
                  <c:v>0.34968588217462554</c:v>
                </c:pt>
                <c:pt idx="51">
                  <c:v>0.34970492982870927</c:v>
                </c:pt>
                <c:pt idx="52">
                  <c:v>0.35131766441750245</c:v>
                </c:pt>
                <c:pt idx="53">
                  <c:v>0.36057749082773627</c:v>
                </c:pt>
                <c:pt idx="54">
                  <c:v>0.36606194309404183</c:v>
                </c:pt>
                <c:pt idx="55">
                  <c:v>0.36675373848344478</c:v>
                </c:pt>
                <c:pt idx="56">
                  <c:v>0.37126392152382554</c:v>
                </c:pt>
                <c:pt idx="57">
                  <c:v>0.3792995323154052</c:v>
                </c:pt>
                <c:pt idx="58">
                  <c:v>0.3793732647455596</c:v>
                </c:pt>
                <c:pt idx="59">
                  <c:v>0.3803900250732834</c:v>
                </c:pt>
                <c:pt idx="60">
                  <c:v>0.38209438385804123</c:v>
                </c:pt>
                <c:pt idx="61">
                  <c:v>0.39003562237355838</c:v>
                </c:pt>
                <c:pt idx="62">
                  <c:v>0.39337504797595485</c:v>
                </c:pt>
                <c:pt idx="63">
                  <c:v>0.39655824205508489</c:v>
                </c:pt>
                <c:pt idx="64">
                  <c:v>0.3982492675180912</c:v>
                </c:pt>
                <c:pt idx="65">
                  <c:v>0.39958998444009658</c:v>
                </c:pt>
                <c:pt idx="66">
                  <c:v>0.40045869324842809</c:v>
                </c:pt>
                <c:pt idx="67">
                  <c:v>0.40461670107573633</c:v>
                </c:pt>
                <c:pt idx="68">
                  <c:v>0.40620398383836126</c:v>
                </c:pt>
                <c:pt idx="69">
                  <c:v>0.40651902411044299</c:v>
                </c:pt>
                <c:pt idx="70">
                  <c:v>0.40764551068026789</c:v>
                </c:pt>
                <c:pt idx="71">
                  <c:v>0.40850617108970949</c:v>
                </c:pt>
                <c:pt idx="72">
                  <c:v>0.43489017717427442</c:v>
                </c:pt>
                <c:pt idx="73">
                  <c:v>0.44636004972166654</c:v>
                </c:pt>
                <c:pt idx="74">
                  <c:v>0.44813367756203082</c:v>
                </c:pt>
                <c:pt idx="75">
                  <c:v>0.44817047701261481</c:v>
                </c:pt>
                <c:pt idx="76">
                  <c:v>0.44875013996667934</c:v>
                </c:pt>
                <c:pt idx="77">
                  <c:v>0.45070561445553531</c:v>
                </c:pt>
                <c:pt idx="78">
                  <c:v>0.45106474528310414</c:v>
                </c:pt>
                <c:pt idx="79">
                  <c:v>0.46138619417380378</c:v>
                </c:pt>
                <c:pt idx="80">
                  <c:v>0.4617677893851746</c:v>
                </c:pt>
                <c:pt idx="81">
                  <c:v>0.47638684490899375</c:v>
                </c:pt>
                <c:pt idx="82">
                  <c:v>0.49339899513108498</c:v>
                </c:pt>
                <c:pt idx="83">
                  <c:v>0.53081307911624986</c:v>
                </c:pt>
                <c:pt idx="84">
                  <c:v>0.53456126095134648</c:v>
                </c:pt>
                <c:pt idx="85">
                  <c:v>0.53628956233450553</c:v>
                </c:pt>
                <c:pt idx="86">
                  <c:v>0.54828368118211834</c:v>
                </c:pt>
                <c:pt idx="87">
                  <c:v>0.61674327211714675</c:v>
                </c:pt>
                <c:pt idx="88">
                  <c:v>0.67449863263445808</c:v>
                </c:pt>
                <c:pt idx="89">
                  <c:v>0.71412950850202894</c:v>
                </c:pt>
                <c:pt idx="90">
                  <c:v>0.72077255014451258</c:v>
                </c:pt>
                <c:pt idx="91">
                  <c:v>0.74010046267368301</c:v>
                </c:pt>
                <c:pt idx="92">
                  <c:v>0.757455223983176</c:v>
                </c:pt>
                <c:pt idx="93">
                  <c:v>0.78834032791252384</c:v>
                </c:pt>
                <c:pt idx="94">
                  <c:v>0.80482752921001255</c:v>
                </c:pt>
                <c:pt idx="95">
                  <c:v>0.87132271374699055</c:v>
                </c:pt>
                <c:pt idx="96">
                  <c:v>0.88994355364495703</c:v>
                </c:pt>
                <c:pt idx="97">
                  <c:v>0.9088250708299016</c:v>
                </c:pt>
                <c:pt idx="98">
                  <c:v>1.1447685222440827</c:v>
                </c:pt>
                <c:pt idx="99">
                  <c:v>1.1809882468511557</c:v>
                </c:pt>
                <c:pt idx="100">
                  <c:v>1.3195004740788352</c:v>
                </c:pt>
                <c:pt idx="101">
                  <c:v>2.4329834334147753</c:v>
                </c:pt>
                <c:pt idx="102">
                  <c:v>2.6674242740097114</c:v>
                </c:pt>
                <c:pt idx="103">
                  <c:v>2.9693411124521312</c:v>
                </c:pt>
                <c:pt idx="104">
                  <c:v>3.0852837120189718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7-4034-AFE1-E33A99860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082056"/>
        <c:axId val="279081072"/>
      </c:scatterChart>
      <c:valAx>
        <c:axId val="279082056"/>
        <c:scaling>
          <c:orientation val="minMax"/>
          <c:max val="10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081072"/>
        <c:crosses val="autoZero"/>
        <c:crossBetween val="midCat"/>
        <c:majorUnit val="2"/>
      </c:valAx>
      <c:valAx>
        <c:axId val="279081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908205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Cactus</a:t>
            </a:r>
            <a:r>
              <a:rPr lang="it-IT" baseline="0"/>
              <a:t> plot - Solver.Planning.Domains parser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refined_data!$J$3:$J$107</c:f>
              <c:numCache>
                <c:formatCode>0.00%</c:formatCode>
                <c:ptCount val="105"/>
                <c:pt idx="0">
                  <c:v>6.6649247414105528E-3</c:v>
                </c:pt>
                <c:pt idx="1">
                  <c:v>2.8135056804453832E-2</c:v>
                </c:pt>
                <c:pt idx="2">
                  <c:v>5.8575928564879413E-2</c:v>
                </c:pt>
                <c:pt idx="3">
                  <c:v>6.9862506337541153E-2</c:v>
                </c:pt>
                <c:pt idx="4">
                  <c:v>0.10562759903118105</c:v>
                </c:pt>
                <c:pt idx="5">
                  <c:v>0.10713478479909574</c:v>
                </c:pt>
                <c:pt idx="6">
                  <c:v>0.11315869339109726</c:v>
                </c:pt>
                <c:pt idx="7">
                  <c:v>0.12765283148426515</c:v>
                </c:pt>
                <c:pt idx="8">
                  <c:v>0.15513676587560118</c:v>
                </c:pt>
                <c:pt idx="9">
                  <c:v>0.16038753282144969</c:v>
                </c:pt>
                <c:pt idx="10">
                  <c:v>0.18719378974339154</c:v>
                </c:pt>
                <c:pt idx="11">
                  <c:v>0.19267646908725766</c:v>
                </c:pt>
                <c:pt idx="12">
                  <c:v>0.19637445796013797</c:v>
                </c:pt>
                <c:pt idx="13">
                  <c:v>0.19740985888636678</c:v>
                </c:pt>
                <c:pt idx="14">
                  <c:v>0.20971441751338718</c:v>
                </c:pt>
                <c:pt idx="15">
                  <c:v>0.21259059630387642</c:v>
                </c:pt>
                <c:pt idx="16">
                  <c:v>0.21607773540196368</c:v>
                </c:pt>
                <c:pt idx="17">
                  <c:v>0.21884770152046593</c:v>
                </c:pt>
                <c:pt idx="18">
                  <c:v>0.21898220001874319</c:v>
                </c:pt>
                <c:pt idx="19">
                  <c:v>0.2198007324014295</c:v>
                </c:pt>
                <c:pt idx="20">
                  <c:v>0.220108456369908</c:v>
                </c:pt>
                <c:pt idx="21">
                  <c:v>0.22109203313968645</c:v>
                </c:pt>
                <c:pt idx="22">
                  <c:v>0.22195954258472181</c:v>
                </c:pt>
                <c:pt idx="23">
                  <c:v>0.22791627228681438</c:v>
                </c:pt>
                <c:pt idx="24">
                  <c:v>0.23600452299265823</c:v>
                </c:pt>
                <c:pt idx="25">
                  <c:v>0.23735317780583795</c:v>
                </c:pt>
                <c:pt idx="26">
                  <c:v>0.23740916858081113</c:v>
                </c:pt>
                <c:pt idx="27">
                  <c:v>0.23783667787246185</c:v>
                </c:pt>
                <c:pt idx="28">
                  <c:v>0.23957779460307291</c:v>
                </c:pt>
                <c:pt idx="29">
                  <c:v>0.24071164345588236</c:v>
                </c:pt>
                <c:pt idx="30">
                  <c:v>0.24343618271036049</c:v>
                </c:pt>
                <c:pt idx="31">
                  <c:v>0.24701529220791121</c:v>
                </c:pt>
                <c:pt idx="32">
                  <c:v>0.24744139838196255</c:v>
                </c:pt>
                <c:pt idx="33">
                  <c:v>0.24774329950104085</c:v>
                </c:pt>
                <c:pt idx="34">
                  <c:v>0.25474281058898784</c:v>
                </c:pt>
                <c:pt idx="35">
                  <c:v>0.25625896731449854</c:v>
                </c:pt>
                <c:pt idx="36">
                  <c:v>0.25844113051052076</c:v>
                </c:pt>
                <c:pt idx="37">
                  <c:v>0.2605712732751696</c:v>
                </c:pt>
                <c:pt idx="38">
                  <c:v>0.26764454970268808</c:v>
                </c:pt>
                <c:pt idx="39">
                  <c:v>0.27440426455578459</c:v>
                </c:pt>
                <c:pt idx="40">
                  <c:v>0.27712289024348546</c:v>
                </c:pt>
                <c:pt idx="41">
                  <c:v>0.27790321449611077</c:v>
                </c:pt>
                <c:pt idx="42">
                  <c:v>0.28028691699936337</c:v>
                </c:pt>
                <c:pt idx="43">
                  <c:v>0.28847028918712431</c:v>
                </c:pt>
                <c:pt idx="44">
                  <c:v>0.28909326725460771</c:v>
                </c:pt>
                <c:pt idx="45">
                  <c:v>0.29032171588303113</c:v>
                </c:pt>
                <c:pt idx="46">
                  <c:v>0.29088194796256128</c:v>
                </c:pt>
                <c:pt idx="47">
                  <c:v>0.29316737476882931</c:v>
                </c:pt>
                <c:pt idx="48">
                  <c:v>0.29648316669576852</c:v>
                </c:pt>
                <c:pt idx="49">
                  <c:v>0.29734769710014491</c:v>
                </c:pt>
                <c:pt idx="50">
                  <c:v>0.2976447914399456</c:v>
                </c:pt>
                <c:pt idx="51">
                  <c:v>0.29765859141658468</c:v>
                </c:pt>
                <c:pt idx="52">
                  <c:v>0.29882620263011994</c:v>
                </c:pt>
                <c:pt idx="53">
                  <c:v>0.30549938922047398</c:v>
                </c:pt>
                <c:pt idx="54">
                  <c:v>0.30942718483130793</c:v>
                </c:pt>
                <c:pt idx="55">
                  <c:v>0.30992133445911546</c:v>
                </c:pt>
                <c:pt idx="56">
                  <c:v>0.31313589192150598</c:v>
                </c:pt>
                <c:pt idx="57">
                  <c:v>0.31883293983275107</c:v>
                </c:pt>
                <c:pt idx="58">
                  <c:v>0.31888503612830854</c:v>
                </c:pt>
                <c:pt idx="59">
                  <c:v>0.31960310794998614</c:v>
                </c:pt>
                <c:pt idx="60">
                  <c:v>0.32080541094194676</c:v>
                </c:pt>
                <c:pt idx="61">
                  <c:v>0.32638477746721761</c:v>
                </c:pt>
                <c:pt idx="62">
                  <c:v>0.32871993740272909</c:v>
                </c:pt>
                <c:pt idx="63">
                  <c:v>0.330939791152357</c:v>
                </c:pt>
                <c:pt idx="64">
                  <c:v>0.33211665935812656</c:v>
                </c:pt>
                <c:pt idx="65">
                  <c:v>0.33304855165357267</c:v>
                </c:pt>
                <c:pt idx="66">
                  <c:v>0.33365180944355777</c:v>
                </c:pt>
                <c:pt idx="67">
                  <c:v>0.33653322036291755</c:v>
                </c:pt>
                <c:pt idx="68">
                  <c:v>0.33763054717446456</c:v>
                </c:pt>
                <c:pt idx="69">
                  <c:v>0.33784816993974159</c:v>
                </c:pt>
                <c:pt idx="70">
                  <c:v>0.33862585573495807</c:v>
                </c:pt>
                <c:pt idx="71">
                  <c:v>0.33921953449252246</c:v>
                </c:pt>
                <c:pt idx="72">
                  <c:v>0.35721543521849586</c:v>
                </c:pt>
                <c:pt idx="73">
                  <c:v>0.36491770683751229</c:v>
                </c:pt>
                <c:pt idx="74">
                  <c:v>0.36610229389785925</c:v>
                </c:pt>
                <c:pt idx="75">
                  <c:v>0.36612685368177117</c:v>
                </c:pt>
                <c:pt idx="76">
                  <c:v>0.36651362067735144</c:v>
                </c:pt>
                <c:pt idx="77">
                  <c:v>0.36781701710482023</c:v>
                </c:pt>
                <c:pt idx="78">
                  <c:v>0.3680561651022442</c:v>
                </c:pt>
                <c:pt idx="79">
                  <c:v>0.37489947352912167</c:v>
                </c:pt>
                <c:pt idx="80">
                  <c:v>0.37515137810825033</c:v>
                </c:pt>
                <c:pt idx="81">
                  <c:v>0.3847434789022236</c:v>
                </c:pt>
                <c:pt idx="82">
                  <c:v>0.39576417259696989</c:v>
                </c:pt>
                <c:pt idx="83">
                  <c:v>0.41948027177226993</c:v>
                </c:pt>
                <c:pt idx="84">
                  <c:v>0.42181758964523836</c:v>
                </c:pt>
                <c:pt idx="85">
                  <c:v>0.42289300898347149</c:v>
                </c:pt>
                <c:pt idx="86">
                  <c:v>0.43031604780184918</c:v>
                </c:pt>
                <c:pt idx="87">
                  <c:v>0.47138233138029928</c:v>
                </c:pt>
                <c:pt idx="88">
                  <c:v>0.50439257990575792</c:v>
                </c:pt>
                <c:pt idx="89">
                  <c:v>0.52623097480427039</c:v>
                </c:pt>
                <c:pt idx="90">
                  <c:v>0.52982933108923724</c:v>
                </c:pt>
                <c:pt idx="91">
                  <c:v>0.54019950929209493</c:v>
                </c:pt>
                <c:pt idx="92">
                  <c:v>0.54938714318560944</c:v>
                </c:pt>
                <c:pt idx="93">
                  <c:v>0.56545488369614538</c:v>
                </c:pt>
                <c:pt idx="94">
                  <c:v>0.57388735729978702</c:v>
                </c:pt>
                <c:pt idx="95">
                  <c:v>0.60691381681019085</c:v>
                </c:pt>
                <c:pt idx="96">
                  <c:v>0.61588992111801688</c:v>
                </c:pt>
                <c:pt idx="97">
                  <c:v>0.62487433840124973</c:v>
                </c:pt>
                <c:pt idx="98">
                  <c:v>0.72804628648927372</c:v>
                </c:pt>
                <c:pt idx="99">
                  <c:v>0.74252914830490813</c:v>
                </c:pt>
                <c:pt idx="100">
                  <c:v>0.79499941896830006</c:v>
                </c:pt>
                <c:pt idx="101">
                  <c:v>1.0976731449414063</c:v>
                </c:pt>
                <c:pt idx="102">
                  <c:v>1.1429962726393281</c:v>
                </c:pt>
                <c:pt idx="103">
                  <c:v>1.1950643134606245</c:v>
                </c:pt>
                <c:pt idx="104">
                  <c:v>1.213416551264175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A-4EFD-8CD8-A9DB8B482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891480"/>
        <c:axId val="390601104"/>
      </c:scatterChart>
      <c:valAx>
        <c:axId val="282891480"/>
        <c:scaling>
          <c:orientation val="minMax"/>
          <c:max val="10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0601104"/>
        <c:crosses val="autoZero"/>
        <c:crossBetween val="midCat"/>
        <c:majorUnit val="2"/>
      </c:valAx>
      <c:valAx>
        <c:axId val="390601104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289148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581024</xdr:colOff>
      <xdr:row>92</xdr:row>
      <xdr:rowOff>95250</xdr:rowOff>
    </xdr:from>
    <xdr:to>
      <xdr:col>45</xdr:col>
      <xdr:colOff>609599</xdr:colOff>
      <xdr:row>120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D56BF99-ABBE-4102-9B87-16F00FCE5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38099</xdr:colOff>
      <xdr:row>89</xdr:row>
      <xdr:rowOff>133350</xdr:rowOff>
    </xdr:from>
    <xdr:to>
      <xdr:col>12</xdr:col>
      <xdr:colOff>523874</xdr:colOff>
      <xdr:row>117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19CAA8F-3952-45D7-BE1F-30B8F5A13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blocksworld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epot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gripper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logistics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topLeftCell="A90" workbookViewId="0">
      <selection activeCell="J3" sqref="J3:J107"/>
    </sheetView>
  </sheetViews>
  <sheetFormatPr defaultRowHeight="15" x14ac:dyDescent="0.25"/>
  <cols>
    <col min="2" max="2" width="14.5703125" customWidth="1"/>
    <col min="3" max="3" width="18.140625" customWidth="1"/>
    <col min="4" max="4" width="13.85546875" customWidth="1"/>
    <col min="5" max="5" width="32.85546875" customWidth="1"/>
    <col min="6" max="6" width="29.140625" customWidth="1"/>
    <col min="7" max="7" width="23.7109375" customWidth="1"/>
    <col min="8" max="8" width="16.28515625" customWidth="1"/>
    <col min="9" max="9" width="26" customWidth="1"/>
  </cols>
  <sheetData>
    <row r="1" spans="1:10" x14ac:dyDescent="0.25">
      <c r="A1" s="38" t="s">
        <v>0</v>
      </c>
      <c r="B1" s="25"/>
      <c r="C1" s="39" t="s">
        <v>1</v>
      </c>
      <c r="D1" s="40"/>
      <c r="E1" s="37" t="s">
        <v>146</v>
      </c>
      <c r="F1" s="22">
        <v>-0.02</v>
      </c>
      <c r="G1" s="41" t="s">
        <v>147</v>
      </c>
      <c r="H1" s="42"/>
      <c r="I1" s="24" t="s">
        <v>148</v>
      </c>
      <c r="J1" s="25"/>
    </row>
    <row r="2" spans="1:10" x14ac:dyDescent="0.25">
      <c r="A2" s="26"/>
      <c r="B2" s="27"/>
      <c r="C2" s="4" t="s">
        <v>2</v>
      </c>
      <c r="D2" s="5" t="s">
        <v>3</v>
      </c>
      <c r="E2" s="23"/>
      <c r="F2" s="23"/>
      <c r="G2" s="26"/>
      <c r="H2" s="27"/>
      <c r="I2" s="26"/>
      <c r="J2" s="27"/>
    </row>
    <row r="3" spans="1:10" x14ac:dyDescent="0.25">
      <c r="A3" s="33" t="s">
        <v>41</v>
      </c>
      <c r="B3" s="36"/>
      <c r="C3" s="6">
        <f>AVERAGE(blocksworld!B2:K2)</f>
        <v>9.8681988999999998E-3</v>
      </c>
      <c r="D3" s="7">
        <f>AVERAGE(blocksworld!B39:K39)</f>
        <v>2.4155479999999991E-3</v>
      </c>
      <c r="E3" s="15">
        <f>(C3 - D3)/D3</f>
        <v>3.0852837120189718</v>
      </c>
      <c r="F3" s="15">
        <f t="shared" ref="F3:F34" si="0">ABS(C3 - D3) / (ABS(C3 + D3) / 2)</f>
        <v>1.213416551264175</v>
      </c>
      <c r="G3" s="18" t="s">
        <v>51</v>
      </c>
      <c r="H3" s="19">
        <v>-0.1921644217949838</v>
      </c>
      <c r="I3" s="14" t="s">
        <v>99</v>
      </c>
      <c r="J3" s="19">
        <v>6.6649247414105528E-3</v>
      </c>
    </row>
    <row r="4" spans="1:10" x14ac:dyDescent="0.25">
      <c r="A4" s="28" t="s">
        <v>42</v>
      </c>
      <c r="B4" s="32"/>
      <c r="C4" s="4">
        <f>AVERAGE(blocksworld!B3:K3)</f>
        <v>1.0267709000000001E-3</v>
      </c>
      <c r="D4" s="5">
        <f>AVERAGE(blocksworld!B40:K40)</f>
        <v>2.5867540000000001E-4</v>
      </c>
      <c r="E4" s="16">
        <f t="shared" ref="E4:E67" si="1">(C4 - D4)/D4</f>
        <v>2.9693411124521312</v>
      </c>
      <c r="F4" s="16">
        <f t="shared" si="0"/>
        <v>1.1950643134606245</v>
      </c>
      <c r="G4" s="4" t="s">
        <v>77</v>
      </c>
      <c r="H4" s="20">
        <v>-0.10709909648054453</v>
      </c>
      <c r="I4" s="4" t="s">
        <v>137</v>
      </c>
      <c r="J4" s="20">
        <v>2.8135056804453832E-2</v>
      </c>
    </row>
    <row r="5" spans="1:10" x14ac:dyDescent="0.25">
      <c r="A5" s="28" t="s">
        <v>43</v>
      </c>
      <c r="B5" s="32"/>
      <c r="C5" s="4">
        <f>AVERAGE(blocksworld!B4:K4)</f>
        <v>4.4569600000000004E-4</v>
      </c>
      <c r="D5" s="5">
        <f>AVERAGE(blocksworld!B41:K41)</f>
        <v>1.2982759999999999E-4</v>
      </c>
      <c r="E5" s="16">
        <f t="shared" si="1"/>
        <v>2.4329834334147753</v>
      </c>
      <c r="F5" s="16">
        <f t="shared" si="0"/>
        <v>1.0976731449414063</v>
      </c>
      <c r="G5" s="4" t="s">
        <v>99</v>
      </c>
      <c r="H5" s="20">
        <v>-6.6427879006949108E-3</v>
      </c>
      <c r="I5" s="4" t="s">
        <v>65</v>
      </c>
      <c r="J5" s="20">
        <v>5.8575928564879413E-2</v>
      </c>
    </row>
    <row r="6" spans="1:10" x14ac:dyDescent="0.25">
      <c r="A6" s="28" t="s">
        <v>44</v>
      </c>
      <c r="B6" s="32"/>
      <c r="C6" s="4">
        <f>AVERAGE(blocksworld!B5:K5)</f>
        <v>4.6375000000000002E-4</v>
      </c>
      <c r="D6" s="5">
        <f>AVERAGE(blocksworld!B42:K42)</f>
        <v>2.1622379999999998E-4</v>
      </c>
      <c r="E6" s="16">
        <f t="shared" si="1"/>
        <v>1.1447685222440827</v>
      </c>
      <c r="F6" s="16">
        <f t="shared" si="0"/>
        <v>0.72804628648927372</v>
      </c>
      <c r="G6" s="4" t="s">
        <v>137</v>
      </c>
      <c r="H6" s="20">
        <v>2.8536494754918651E-2</v>
      </c>
      <c r="I6" s="4" t="s">
        <v>63</v>
      </c>
      <c r="J6" s="20">
        <v>6.9862506337541153E-2</v>
      </c>
    </row>
    <row r="7" spans="1:10" x14ac:dyDescent="0.25">
      <c r="A7" s="28" t="s">
        <v>45</v>
      </c>
      <c r="B7" s="32"/>
      <c r="C7" s="4">
        <f>AVERAGE(blocksworld!B6:K6)</f>
        <v>2.4962520000000002E-4</v>
      </c>
      <c r="D7" s="5">
        <f>AVERAGE(blocksworld!B43:K43)</f>
        <v>1.7237279999999998E-4</v>
      </c>
      <c r="E7" s="16">
        <f t="shared" si="1"/>
        <v>0.44817047701261481</v>
      </c>
      <c r="F7" s="16">
        <f t="shared" si="0"/>
        <v>0.36612685368177117</v>
      </c>
      <c r="G7" s="4" t="s">
        <v>65</v>
      </c>
      <c r="H7" s="20">
        <v>6.0343259802665868E-2</v>
      </c>
      <c r="I7" s="4" t="s">
        <v>66</v>
      </c>
      <c r="J7" s="20">
        <v>0.10562759903118105</v>
      </c>
    </row>
    <row r="8" spans="1:10" x14ac:dyDescent="0.25">
      <c r="A8" s="28" t="s">
        <v>46</v>
      </c>
      <c r="B8" s="32"/>
      <c r="C8" s="4">
        <f>AVERAGE(blocksworld!B7:K7)</f>
        <v>3.0373949999999998E-4</v>
      </c>
      <c r="D8" s="5">
        <f>AVERAGE(blocksworld!B44:K44)</f>
        <v>2.3474389999999997E-4</v>
      </c>
      <c r="E8" s="16">
        <f t="shared" si="1"/>
        <v>0.29391860661768004</v>
      </c>
      <c r="F8" s="16">
        <f t="shared" si="0"/>
        <v>0.25625896731449854</v>
      </c>
      <c r="G8" s="4" t="s">
        <v>63</v>
      </c>
      <c r="H8" s="20">
        <v>7.2391222456361093E-2</v>
      </c>
      <c r="I8" s="4" t="s">
        <v>96</v>
      </c>
      <c r="J8" s="20">
        <v>0.10713478479909574</v>
      </c>
    </row>
    <row r="9" spans="1:10" x14ac:dyDescent="0.25">
      <c r="A9" s="28" t="s">
        <v>47</v>
      </c>
      <c r="B9" s="32"/>
      <c r="C9" s="4">
        <f>AVERAGE(blocksworld!B8:K8)</f>
        <v>2.3744949999999999E-4</v>
      </c>
      <c r="D9" s="5">
        <f>AVERAGE(blocksworld!B45:K45)</f>
        <v>1.8664740000000002E-4</v>
      </c>
      <c r="E9" s="16">
        <f t="shared" si="1"/>
        <v>0.27218220023423828</v>
      </c>
      <c r="F9" s="16">
        <f t="shared" si="0"/>
        <v>0.23957779460307291</v>
      </c>
      <c r="G9" s="4" t="s">
        <v>66</v>
      </c>
      <c r="H9" s="20">
        <v>0.11151724864357299</v>
      </c>
      <c r="I9" s="4" t="s">
        <v>77</v>
      </c>
      <c r="J9" s="20">
        <v>0.11315869339109726</v>
      </c>
    </row>
    <row r="10" spans="1:10" x14ac:dyDescent="0.25">
      <c r="A10" s="28" t="s">
        <v>48</v>
      </c>
      <c r="B10" s="32"/>
      <c r="C10" s="4">
        <f>AVERAGE(blocksworld!B9:K9)</f>
        <v>2.2434079999999996E-4</v>
      </c>
      <c r="D10" s="5">
        <f>AVERAGE(blocksworld!B46:K46)</f>
        <v>1.662147E-4</v>
      </c>
      <c r="E10" s="16">
        <f t="shared" si="1"/>
        <v>0.34970492982870927</v>
      </c>
      <c r="F10" s="16">
        <f t="shared" si="0"/>
        <v>0.29765859141658468</v>
      </c>
      <c r="G10" s="4" t="s">
        <v>96</v>
      </c>
      <c r="H10" s="20">
        <v>0.11319853515055979</v>
      </c>
      <c r="I10" s="4" t="s">
        <v>62</v>
      </c>
      <c r="J10" s="20">
        <v>0.12765283148426515</v>
      </c>
    </row>
    <row r="11" spans="1:10" x14ac:dyDescent="0.25">
      <c r="A11" s="28" t="s">
        <v>49</v>
      </c>
      <c r="B11" s="32"/>
      <c r="C11" s="4">
        <f>AVERAGE(blocksworld!B10:K10)</f>
        <v>3.4479180000000006E-4</v>
      </c>
      <c r="D11" s="5">
        <f>AVERAGE(blocksworld!B47:K47)</f>
        <v>2.6996480000000003E-4</v>
      </c>
      <c r="E11" s="16">
        <f t="shared" si="1"/>
        <v>0.27717317220615434</v>
      </c>
      <c r="F11" s="16">
        <f t="shared" si="0"/>
        <v>0.24343618271036049</v>
      </c>
      <c r="G11" s="4" t="s">
        <v>62</v>
      </c>
      <c r="H11" s="20">
        <v>0.13635594256321529</v>
      </c>
      <c r="I11" s="4" t="s">
        <v>84</v>
      </c>
      <c r="J11" s="20">
        <v>0.15513676587560118</v>
      </c>
    </row>
    <row r="12" spans="1:10" x14ac:dyDescent="0.25">
      <c r="A12" s="28" t="s">
        <v>50</v>
      </c>
      <c r="B12" s="32"/>
      <c r="C12" s="4">
        <f>AVERAGE(blocksworld!B11:K11)</f>
        <v>3.0481249999999996E-4</v>
      </c>
      <c r="D12" s="5">
        <f>AVERAGE(blocksworld!B48:K48)</f>
        <v>2.500453E-4</v>
      </c>
      <c r="E12" s="16">
        <f t="shared" si="1"/>
        <v>0.21902911192491903</v>
      </c>
      <c r="F12" s="16">
        <f t="shared" si="0"/>
        <v>0.19740985888636678</v>
      </c>
      <c r="G12" s="4" t="s">
        <v>84</v>
      </c>
      <c r="H12" s="20">
        <v>0.16818240290774894</v>
      </c>
      <c r="I12" s="4" t="s">
        <v>81</v>
      </c>
      <c r="J12" s="20">
        <v>0.16038753282144969</v>
      </c>
    </row>
    <row r="13" spans="1:10" x14ac:dyDescent="0.25">
      <c r="A13" s="28" t="s">
        <v>51</v>
      </c>
      <c r="B13" s="32"/>
      <c r="C13" s="4">
        <f>AVERAGE(blocksworld!B12:K12)</f>
        <v>3.2417229999999995E-4</v>
      </c>
      <c r="D13" s="5">
        <f>AVERAGE(blocksworld!B49:K49)</f>
        <v>4.0128500000000003E-4</v>
      </c>
      <c r="E13" s="16">
        <f t="shared" si="1"/>
        <v>-0.1921644217949838</v>
      </c>
      <c r="F13" s="16">
        <f t="shared" si="0"/>
        <v>0.21259059630387642</v>
      </c>
      <c r="G13" s="4" t="s">
        <v>81</v>
      </c>
      <c r="H13" s="20">
        <v>0.17437100006985626</v>
      </c>
      <c r="I13" s="4" t="s">
        <v>78</v>
      </c>
      <c r="J13" s="20">
        <v>0.18719378974339154</v>
      </c>
    </row>
    <row r="14" spans="1:10" x14ac:dyDescent="0.25">
      <c r="A14" s="28" t="s">
        <v>52</v>
      </c>
      <c r="B14" s="32"/>
      <c r="C14" s="4">
        <f>AVERAGE(blocksworld!B13:K13)</f>
        <v>3.6447810000000004E-4</v>
      </c>
      <c r="D14" s="5">
        <f>AVERAGE(blocksworld!B50:K50)</f>
        <v>2.1263160000000001E-4</v>
      </c>
      <c r="E14" s="16">
        <f t="shared" si="1"/>
        <v>0.71412950850202894</v>
      </c>
      <c r="F14" s="16">
        <f t="shared" si="0"/>
        <v>0.52623097480427039</v>
      </c>
      <c r="G14" s="4" t="s">
        <v>78</v>
      </c>
      <c r="H14" s="20">
        <v>0.20652377367671712</v>
      </c>
      <c r="I14" s="4" t="s">
        <v>85</v>
      </c>
      <c r="J14" s="20">
        <v>0.19267646908725766</v>
      </c>
    </row>
    <row r="15" spans="1:10" x14ac:dyDescent="0.25">
      <c r="A15" s="28" t="s">
        <v>53</v>
      </c>
      <c r="B15" s="32"/>
      <c r="C15" s="4">
        <f>AVERAGE(blocksworld!B14:K14)</f>
        <v>3.2524530000000004E-4</v>
      </c>
      <c r="D15" s="5">
        <f>AVERAGE(blocksworld!B51:K51)</f>
        <v>1.7209259999999995E-4</v>
      </c>
      <c r="E15" s="16">
        <f t="shared" si="1"/>
        <v>0.88994355364495703</v>
      </c>
      <c r="F15" s="16">
        <f t="shared" si="0"/>
        <v>0.61588992111801688</v>
      </c>
      <c r="G15" s="4" t="s">
        <v>85</v>
      </c>
      <c r="H15" s="20">
        <v>0.21321746305151168</v>
      </c>
      <c r="I15" s="4" t="s">
        <v>75</v>
      </c>
      <c r="J15" s="20">
        <v>0.19637445796013797</v>
      </c>
    </row>
    <row r="16" spans="1:10" x14ac:dyDescent="0.25">
      <c r="A16" s="28" t="s">
        <v>54</v>
      </c>
      <c r="B16" s="32"/>
      <c r="C16" s="4">
        <f>AVERAGE(blocksworld!B15:K15)</f>
        <v>3.3233589999999999E-4</v>
      </c>
      <c r="D16" s="5">
        <f>AVERAGE(blocksworld!B52:K52)</f>
        <v>1.9313180000000001E-4</v>
      </c>
      <c r="E16" s="16">
        <f t="shared" si="1"/>
        <v>0.72077255014451258</v>
      </c>
      <c r="F16" s="16">
        <f t="shared" si="0"/>
        <v>0.52982933108923724</v>
      </c>
      <c r="G16" s="4" t="s">
        <v>75</v>
      </c>
      <c r="H16" s="20">
        <v>0.21775524174274297</v>
      </c>
      <c r="I16" s="4" t="s">
        <v>50</v>
      </c>
      <c r="J16" s="20">
        <v>0.19740985888636678</v>
      </c>
    </row>
    <row r="17" spans="1:10" x14ac:dyDescent="0.25">
      <c r="A17" s="28" t="s">
        <v>55</v>
      </c>
      <c r="B17" s="32"/>
      <c r="C17" s="4">
        <f>AVERAGE(blocksworld!B16:K16)</f>
        <v>2.2737320000000002E-4</v>
      </c>
      <c r="D17" s="5">
        <f>AVERAGE(blocksworld!B53:K53)</f>
        <v>1.4685500000000002E-4</v>
      </c>
      <c r="E17" s="16">
        <f t="shared" si="1"/>
        <v>0.54828368118211834</v>
      </c>
      <c r="F17" s="16">
        <f t="shared" si="0"/>
        <v>0.43031604780184918</v>
      </c>
      <c r="G17" s="4" t="s">
        <v>50</v>
      </c>
      <c r="H17" s="20">
        <v>0.21902911192491903</v>
      </c>
      <c r="I17" s="4" t="s">
        <v>93</v>
      </c>
      <c r="J17" s="20">
        <v>0.20971441751338718</v>
      </c>
    </row>
    <row r="18" spans="1:10" x14ac:dyDescent="0.25">
      <c r="A18" s="28" t="s">
        <v>56</v>
      </c>
      <c r="B18" s="32"/>
      <c r="C18" s="4">
        <f>AVERAGE(blocksworld!B17:K17)</f>
        <v>3.6102599999999997E-4</v>
      </c>
      <c r="D18" s="5">
        <f>AVERAGE(blocksworld!B54:K54)</f>
        <v>2.6716589999999996E-4</v>
      </c>
      <c r="E18" s="16">
        <f t="shared" si="1"/>
        <v>0.35131766441750245</v>
      </c>
      <c r="F18" s="16">
        <f t="shared" si="0"/>
        <v>0.29882620263011994</v>
      </c>
      <c r="G18" s="4" t="s">
        <v>93</v>
      </c>
      <c r="H18" s="20">
        <v>0.23428040706455874</v>
      </c>
      <c r="I18" s="4" t="s">
        <v>51</v>
      </c>
      <c r="J18" s="20">
        <v>0.21259059630387642</v>
      </c>
    </row>
    <row r="19" spans="1:10" x14ac:dyDescent="0.25">
      <c r="A19" s="28" t="s">
        <v>57</v>
      </c>
      <c r="B19" s="32"/>
      <c r="C19" s="4">
        <f>AVERAGE(blocksworld!B18:K18)</f>
        <v>3.8542389999999995E-4</v>
      </c>
      <c r="D19" s="5">
        <f>AVERAGE(blocksworld!B55:K55)</f>
        <v>2.2149520000000001E-4</v>
      </c>
      <c r="E19" s="16">
        <f t="shared" si="1"/>
        <v>0.74010046267368301</v>
      </c>
      <c r="F19" s="16">
        <f t="shared" si="0"/>
        <v>0.54019950929209493</v>
      </c>
      <c r="G19" s="4" t="s">
        <v>94</v>
      </c>
      <c r="H19" s="20">
        <v>0.24225016940483285</v>
      </c>
      <c r="I19" s="4" t="s">
        <v>94</v>
      </c>
      <c r="J19" s="20">
        <v>0.21607773540196368</v>
      </c>
    </row>
    <row r="20" spans="1:10" x14ac:dyDescent="0.25">
      <c r="A20" s="28" t="s">
        <v>58</v>
      </c>
      <c r="B20" s="32"/>
      <c r="C20" s="4">
        <f>AVERAGE(blocksworld!B19:K19)</f>
        <v>2.9352299999999996E-4</v>
      </c>
      <c r="D20" s="5">
        <f>AVERAGE(blocksworld!B56:K56)</f>
        <v>2.0456130000000004E-4</v>
      </c>
      <c r="E20" s="16">
        <f t="shared" si="1"/>
        <v>0.43489017717427442</v>
      </c>
      <c r="F20" s="16">
        <f t="shared" si="0"/>
        <v>0.35721543521849586</v>
      </c>
      <c r="G20" s="4" t="s">
        <v>72</v>
      </c>
      <c r="H20" s="20">
        <v>0.24573721372089682</v>
      </c>
      <c r="I20" s="4" t="s">
        <v>72</v>
      </c>
      <c r="J20" s="20">
        <v>0.21884770152046593</v>
      </c>
    </row>
    <row r="21" spans="1:10" x14ac:dyDescent="0.25">
      <c r="A21" s="28" t="s">
        <v>59</v>
      </c>
      <c r="B21" s="32"/>
      <c r="C21" s="4">
        <f>AVERAGE(blocksworld!B20:K20)</f>
        <v>4.5064109999999992E-4</v>
      </c>
      <c r="D21" s="5">
        <f>AVERAGE(blocksworld!B57:K57)</f>
        <v>3.0523239999999998E-4</v>
      </c>
      <c r="E21" s="16">
        <f t="shared" si="1"/>
        <v>0.47638684490899375</v>
      </c>
      <c r="F21" s="16">
        <f t="shared" si="0"/>
        <v>0.3847434789022236</v>
      </c>
      <c r="G21" s="4" t="s">
        <v>87</v>
      </c>
      <c r="H21" s="20">
        <v>0.24590680679446067</v>
      </c>
      <c r="I21" s="4" t="s">
        <v>87</v>
      </c>
      <c r="J21" s="20">
        <v>0.21898220001874319</v>
      </c>
    </row>
    <row r="22" spans="1:10" x14ac:dyDescent="0.25">
      <c r="A22" s="28" t="s">
        <v>60</v>
      </c>
      <c r="B22" s="32"/>
      <c r="C22" s="4">
        <f>AVERAGE(blocksworld!B21:K21)</f>
        <v>4.1896559999999997E-4</v>
      </c>
      <c r="D22" s="5">
        <f>AVERAGE(blocksworld!B58:K58)</f>
        <v>2.5914169999999997E-4</v>
      </c>
      <c r="E22" s="16">
        <f t="shared" si="1"/>
        <v>0.61674327211714675</v>
      </c>
      <c r="F22" s="16">
        <f t="shared" si="0"/>
        <v>0.47138233138029928</v>
      </c>
      <c r="G22" s="4" t="s">
        <v>88</v>
      </c>
      <c r="H22" s="20">
        <v>0.24693947065592647</v>
      </c>
      <c r="I22" s="4" t="s">
        <v>88</v>
      </c>
      <c r="J22" s="20">
        <v>0.2198007324014295</v>
      </c>
    </row>
    <row r="23" spans="1:10" x14ac:dyDescent="0.25">
      <c r="A23" s="28" t="s">
        <v>61</v>
      </c>
      <c r="B23" s="32"/>
      <c r="C23" s="4">
        <f>AVERAGE(blocksworld!B22:K22)</f>
        <v>5.7902249999999995E-4</v>
      </c>
      <c r="D23" s="5">
        <f>AVERAGE(blocksworld!B59:K59)</f>
        <v>2.6548629999999999E-4</v>
      </c>
      <c r="E23" s="16">
        <f t="shared" si="1"/>
        <v>1.1809882468511557</v>
      </c>
      <c r="F23" s="16">
        <f t="shared" si="0"/>
        <v>0.74252914830490813</v>
      </c>
      <c r="G23" s="4" t="s">
        <v>83</v>
      </c>
      <c r="H23" s="20">
        <v>0.2473279421520217</v>
      </c>
      <c r="I23" s="4" t="s">
        <v>83</v>
      </c>
      <c r="J23" s="20">
        <v>0.220108456369908</v>
      </c>
    </row>
    <row r="24" spans="1:10" x14ac:dyDescent="0.25">
      <c r="A24" s="28" t="s">
        <v>62</v>
      </c>
      <c r="B24" s="32"/>
      <c r="C24" s="4">
        <f>AVERAGE(blocksworld!B23:K23)</f>
        <v>2.9002440000000003E-4</v>
      </c>
      <c r="D24" s="5">
        <f>AVERAGE(blocksworld!B60:K60)</f>
        <v>2.5522320000000002E-4</v>
      </c>
      <c r="E24" s="16">
        <f t="shared" si="1"/>
        <v>0.13635594256321529</v>
      </c>
      <c r="F24" s="16">
        <f t="shared" si="0"/>
        <v>0.12765283148426515</v>
      </c>
      <c r="G24" s="4" t="s">
        <v>86</v>
      </c>
      <c r="H24" s="20">
        <v>0.24857051321199397</v>
      </c>
      <c r="I24" s="4" t="s">
        <v>86</v>
      </c>
      <c r="J24" s="20">
        <v>0.22109203313968645</v>
      </c>
    </row>
    <row r="25" spans="1:10" x14ac:dyDescent="0.25">
      <c r="A25" s="28" t="s">
        <v>63</v>
      </c>
      <c r="B25" s="32"/>
      <c r="C25" s="4">
        <f>AVERAGE(blocksworld!B24:K24)</f>
        <v>3.8631060000000005E-4</v>
      </c>
      <c r="D25" s="5">
        <f>AVERAGE(blocksworld!B61:K61)</f>
        <v>3.6023289999999997E-4</v>
      </c>
      <c r="E25" s="16">
        <f t="shared" si="1"/>
        <v>7.2391222456361093E-2</v>
      </c>
      <c r="F25" s="16">
        <f t="shared" si="0"/>
        <v>6.9862506337541153E-2</v>
      </c>
      <c r="G25" s="4" t="s">
        <v>70</v>
      </c>
      <c r="H25" s="20">
        <v>0.2496675951990231</v>
      </c>
      <c r="I25" s="4" t="s">
        <v>70</v>
      </c>
      <c r="J25" s="20">
        <v>0.22195954258472181</v>
      </c>
    </row>
    <row r="26" spans="1:10" x14ac:dyDescent="0.25">
      <c r="A26" s="28" t="s">
        <v>64</v>
      </c>
      <c r="B26" s="32"/>
      <c r="C26" s="4">
        <f>AVERAGE(blocksworld!B25:K25)</f>
        <v>3.5528789999999996E-4</v>
      </c>
      <c r="D26" s="5">
        <f>AVERAGE(blocksworld!B62:K62)</f>
        <v>2.5909520000000005E-4</v>
      </c>
      <c r="E26" s="16">
        <f t="shared" si="1"/>
        <v>0.37126392152382554</v>
      </c>
      <c r="F26" s="16">
        <f t="shared" si="0"/>
        <v>0.31313589192150598</v>
      </c>
      <c r="G26" s="4" t="s">
        <v>104</v>
      </c>
      <c r="H26" s="20">
        <v>0.25722968810388286</v>
      </c>
      <c r="I26" s="4" t="s">
        <v>104</v>
      </c>
      <c r="J26" s="20">
        <v>0.22791627228681438</v>
      </c>
    </row>
    <row r="27" spans="1:10" x14ac:dyDescent="0.25">
      <c r="A27" s="28" t="s">
        <v>65</v>
      </c>
      <c r="B27" s="32"/>
      <c r="C27" s="4">
        <f>AVERAGE(blocksworld!B26:K26)</f>
        <v>3.3116980000000003E-4</v>
      </c>
      <c r="D27" s="5">
        <f>AVERAGE(blocksworld!B63:K63)</f>
        <v>3.1232320000000005E-4</v>
      </c>
      <c r="E27" s="16">
        <f t="shared" si="1"/>
        <v>6.0343259802665868E-2</v>
      </c>
      <c r="F27" s="16">
        <f t="shared" si="0"/>
        <v>5.8575928564879413E-2</v>
      </c>
      <c r="G27" s="4" t="s">
        <v>71</v>
      </c>
      <c r="H27" s="20">
        <v>0.26757951034324107</v>
      </c>
      <c r="I27" s="4" t="s">
        <v>71</v>
      </c>
      <c r="J27" s="20">
        <v>0.23600452299265823</v>
      </c>
    </row>
    <row r="28" spans="1:10" x14ac:dyDescent="0.25">
      <c r="A28" s="28" t="s">
        <v>66</v>
      </c>
      <c r="B28" s="32"/>
      <c r="C28" s="4">
        <f>AVERAGE(blocksworld!B27:K27)</f>
        <v>2.9758140000000002E-4</v>
      </c>
      <c r="D28" s="5">
        <f>AVERAGE(blocksworld!B64:K64)</f>
        <v>2.6772539999999999E-4</v>
      </c>
      <c r="E28" s="16">
        <f t="shared" si="1"/>
        <v>0.11151724864357299</v>
      </c>
      <c r="F28" s="16">
        <f t="shared" si="0"/>
        <v>0.10562759903118105</v>
      </c>
      <c r="G28" s="4" t="s">
        <v>76</v>
      </c>
      <c r="H28" s="20">
        <v>0.2693145045476304</v>
      </c>
      <c r="I28" s="4" t="s">
        <v>76</v>
      </c>
      <c r="J28" s="20">
        <v>0.23735317780583795</v>
      </c>
    </row>
    <row r="29" spans="1:10" x14ac:dyDescent="0.25">
      <c r="A29" s="28" t="s">
        <v>67</v>
      </c>
      <c r="B29" s="32"/>
      <c r="C29" s="4">
        <f>AVERAGE(blocksworld!B28:K28)</f>
        <v>5.9516370000000014E-4</v>
      </c>
      <c r="D29" s="5">
        <f>AVERAGE(blocksworld!B65:K65)</f>
        <v>3.5542799999999997E-4</v>
      </c>
      <c r="E29" s="16">
        <f t="shared" si="1"/>
        <v>0.67449863263445808</v>
      </c>
      <c r="F29" s="16">
        <f t="shared" si="0"/>
        <v>0.50439257990575792</v>
      </c>
      <c r="G29" s="4" t="s">
        <v>80</v>
      </c>
      <c r="H29" s="20">
        <v>0.26938659199725429</v>
      </c>
      <c r="I29" s="4" t="s">
        <v>80</v>
      </c>
      <c r="J29" s="20">
        <v>0.23740916858081113</v>
      </c>
    </row>
    <row r="30" spans="1:10" x14ac:dyDescent="0.25">
      <c r="A30" s="28" t="s">
        <v>68</v>
      </c>
      <c r="B30" s="32"/>
      <c r="C30" s="4">
        <f>AVERAGE(blocksworld!B29:K29)</f>
        <v>3.9951250000000004E-4</v>
      </c>
      <c r="D30" s="5">
        <f>AVERAGE(blocksworld!B66:K66)</f>
        <v>3.1367610000000007E-4</v>
      </c>
      <c r="E30" s="16">
        <f t="shared" si="1"/>
        <v>0.27364660552716624</v>
      </c>
      <c r="F30" s="16">
        <f t="shared" si="0"/>
        <v>0.24071164345588236</v>
      </c>
      <c r="G30" s="4" t="s">
        <v>74</v>
      </c>
      <c r="H30" s="20">
        <v>0.26993715609210506</v>
      </c>
      <c r="I30" s="4" t="s">
        <v>74</v>
      </c>
      <c r="J30" s="20">
        <v>0.23783667787246185</v>
      </c>
    </row>
    <row r="31" spans="1:10" x14ac:dyDescent="0.25">
      <c r="A31" s="28" t="s">
        <v>69</v>
      </c>
      <c r="B31" s="32"/>
      <c r="C31" s="4">
        <f>AVERAGE(blocksworld!B30:K30)</f>
        <v>3.5351520000000001E-4</v>
      </c>
      <c r="D31" s="5">
        <f>AVERAGE(blocksworld!B67:K67)</f>
        <v>2.7201729999999999E-4</v>
      </c>
      <c r="E31" s="16">
        <f t="shared" si="1"/>
        <v>0.29960557655707937</v>
      </c>
      <c r="F31" s="16">
        <f t="shared" si="0"/>
        <v>0.2605712732751696</v>
      </c>
      <c r="G31" s="4" t="s">
        <v>47</v>
      </c>
      <c r="H31" s="20">
        <v>0.27218220023423828</v>
      </c>
      <c r="I31" s="4" t="s">
        <v>47</v>
      </c>
      <c r="J31" s="20">
        <v>0.23957779460307291</v>
      </c>
    </row>
    <row r="32" spans="1:10" x14ac:dyDescent="0.25">
      <c r="A32" s="28" t="s">
        <v>70</v>
      </c>
      <c r="B32" s="32"/>
      <c r="C32" s="4">
        <f>AVERAGE(blocksworld!B31:K31)</f>
        <v>3.0658520000000002E-4</v>
      </c>
      <c r="D32" s="5">
        <f>AVERAGE(blocksworld!B68:K68)</f>
        <v>2.453334E-4</v>
      </c>
      <c r="E32" s="16">
        <f t="shared" si="1"/>
        <v>0.2496675951990231</v>
      </c>
      <c r="F32" s="16">
        <f t="shared" si="0"/>
        <v>0.22195954258472181</v>
      </c>
      <c r="G32" s="4" t="s">
        <v>68</v>
      </c>
      <c r="H32" s="20">
        <v>0.27364660552716624</v>
      </c>
      <c r="I32" s="4" t="s">
        <v>68</v>
      </c>
      <c r="J32" s="20">
        <v>0.24071164345588236</v>
      </c>
    </row>
    <row r="33" spans="1:10" x14ac:dyDescent="0.25">
      <c r="A33" s="28" t="s">
        <v>71</v>
      </c>
      <c r="B33" s="32"/>
      <c r="C33" s="4">
        <f>AVERAGE(blocksworld!B32:K32)</f>
        <v>3.7082240000000001E-4</v>
      </c>
      <c r="D33" s="5">
        <f>AVERAGE(blocksworld!B69:K69)</f>
        <v>2.925437E-4</v>
      </c>
      <c r="E33" s="16">
        <f t="shared" si="1"/>
        <v>0.26757951034324107</v>
      </c>
      <c r="F33" s="16">
        <f t="shared" si="0"/>
        <v>0.23600452299265823</v>
      </c>
      <c r="G33" s="4" t="s">
        <v>49</v>
      </c>
      <c r="H33" s="20">
        <v>0.27717317220615434</v>
      </c>
      <c r="I33" s="4" t="s">
        <v>49</v>
      </c>
      <c r="J33" s="20">
        <v>0.24343618271036049</v>
      </c>
    </row>
    <row r="34" spans="1:10" x14ac:dyDescent="0.25">
      <c r="A34" s="28" t="s">
        <v>72</v>
      </c>
      <c r="B34" s="32"/>
      <c r="C34" s="4">
        <f>AVERAGE(blocksworld!B33:K33)</f>
        <v>4.1929210000000007E-4</v>
      </c>
      <c r="D34" s="5">
        <f>AVERAGE(blocksworld!B70:K70)</f>
        <v>3.3658150000000003E-4</v>
      </c>
      <c r="E34" s="16">
        <f t="shared" si="1"/>
        <v>0.24573721372089682</v>
      </c>
      <c r="F34" s="16">
        <f t="shared" si="0"/>
        <v>0.21884770152046593</v>
      </c>
      <c r="G34" s="4" t="s">
        <v>142</v>
      </c>
      <c r="H34" s="20">
        <v>0.28182252943784175</v>
      </c>
      <c r="I34" s="4" t="s">
        <v>142</v>
      </c>
      <c r="J34" s="20">
        <v>0.24701529220791121</v>
      </c>
    </row>
    <row r="35" spans="1:10" x14ac:dyDescent="0.25">
      <c r="A35" s="28" t="s">
        <v>73</v>
      </c>
      <c r="B35" s="32"/>
      <c r="C35" s="4">
        <f>AVERAGE(blocksworld!B34:K34)</f>
        <v>6.7400240000000007E-4</v>
      </c>
      <c r="D35" s="5">
        <f>AVERAGE(blocksworld!B71:K71)</f>
        <v>3.7688709999999994E-4</v>
      </c>
      <c r="E35" s="16">
        <f t="shared" si="1"/>
        <v>0.78834032791252384</v>
      </c>
      <c r="F35" s="16">
        <f t="shared" ref="F35:F66" si="2">ABS(C35 - D35) / (ABS(C35 + D35) / 2)</f>
        <v>0.56545488369614538</v>
      </c>
      <c r="G35" s="4" t="s">
        <v>89</v>
      </c>
      <c r="H35" s="20">
        <v>0.28237731754420542</v>
      </c>
      <c r="I35" s="4" t="s">
        <v>89</v>
      </c>
      <c r="J35" s="20">
        <v>0.24744139838196255</v>
      </c>
    </row>
    <row r="36" spans="1:10" x14ac:dyDescent="0.25">
      <c r="A36" s="28" t="s">
        <v>74</v>
      </c>
      <c r="B36" s="32"/>
      <c r="C36" s="4">
        <f>AVERAGE(blocksworld!B35:K35)</f>
        <v>4.0930899999999995E-4</v>
      </c>
      <c r="D36" s="5">
        <f>AVERAGE(blocksworld!B72:K72)</f>
        <v>3.2230649999999991E-4</v>
      </c>
      <c r="E36" s="16">
        <f t="shared" si="1"/>
        <v>0.26993715609210506</v>
      </c>
      <c r="F36" s="16">
        <f t="shared" si="2"/>
        <v>0.23783667787246185</v>
      </c>
      <c r="G36" s="4" t="s">
        <v>140</v>
      </c>
      <c r="H36" s="20">
        <v>0.28277055460024253</v>
      </c>
      <c r="I36" s="4" t="s">
        <v>140</v>
      </c>
      <c r="J36" s="20">
        <v>0.24774329950104085</v>
      </c>
    </row>
    <row r="37" spans="1:10" x14ac:dyDescent="0.25">
      <c r="A37" s="28" t="s">
        <v>75</v>
      </c>
      <c r="B37" s="32"/>
      <c r="C37" s="1">
        <f>AVERAGE(blocksworld!B36:K36)</f>
        <v>4.1271430000000005E-4</v>
      </c>
      <c r="D37" s="2">
        <f>AVERAGE(blocksworld!B73:K73)</f>
        <v>3.3891400000000006E-4</v>
      </c>
      <c r="E37" s="17">
        <f t="shared" si="1"/>
        <v>0.21775524174274297</v>
      </c>
      <c r="F37" s="16">
        <f t="shared" si="2"/>
        <v>0.19637445796013797</v>
      </c>
      <c r="G37" s="4" t="s">
        <v>79</v>
      </c>
      <c r="H37" s="20">
        <v>0.29192581143293633</v>
      </c>
      <c r="I37" s="4" t="s">
        <v>79</v>
      </c>
      <c r="J37" s="20">
        <v>0.25474281058898784</v>
      </c>
    </row>
    <row r="38" spans="1:10" x14ac:dyDescent="0.25">
      <c r="A38" s="33" t="s">
        <v>76</v>
      </c>
      <c r="B38" s="34"/>
      <c r="C38" s="8">
        <f>AVERAGE(depots!B2:K2)</f>
        <v>1.325799E-4</v>
      </c>
      <c r="D38" s="9">
        <f>AVERAGE(depots!B26:K26)</f>
        <v>1.0445E-4</v>
      </c>
      <c r="E38" s="15">
        <f t="shared" si="1"/>
        <v>0.2693145045476304</v>
      </c>
      <c r="F38" s="16">
        <f t="shared" si="2"/>
        <v>0.23735317780583795</v>
      </c>
      <c r="G38" s="4" t="s">
        <v>46</v>
      </c>
      <c r="H38" s="20">
        <v>0.29391860661768004</v>
      </c>
      <c r="I38" s="4" t="s">
        <v>46</v>
      </c>
      <c r="J38" s="20">
        <v>0.25625896731449854</v>
      </c>
    </row>
    <row r="39" spans="1:10" x14ac:dyDescent="0.25">
      <c r="A39" s="28" t="s">
        <v>77</v>
      </c>
      <c r="B39" s="29"/>
      <c r="C39" s="10">
        <f>AVERAGE(depots!B3:K3)</f>
        <v>1.6957339999999998E-4</v>
      </c>
      <c r="D39" s="11">
        <f>AVERAGE(depots!B27:K27)</f>
        <v>1.8991289999999999E-4</v>
      </c>
      <c r="E39" s="16">
        <f t="shared" si="1"/>
        <v>-0.10709909648054453</v>
      </c>
      <c r="F39" s="16">
        <f t="shared" si="2"/>
        <v>0.11315869339109726</v>
      </c>
      <c r="G39" s="4" t="s">
        <v>141</v>
      </c>
      <c r="H39" s="20">
        <v>0.29679287337129207</v>
      </c>
      <c r="I39" s="4" t="s">
        <v>141</v>
      </c>
      <c r="J39" s="20">
        <v>0.25844113051052076</v>
      </c>
    </row>
    <row r="40" spans="1:10" x14ac:dyDescent="0.25">
      <c r="A40" s="28" t="s">
        <v>78</v>
      </c>
      <c r="B40" s="29"/>
      <c r="C40" s="10">
        <f>AVERAGE(depots!B4:K4)</f>
        <v>3.8481750000000003E-4</v>
      </c>
      <c r="D40" s="11">
        <f>AVERAGE(depots!B28:K28)</f>
        <v>3.1894730000000003E-4</v>
      </c>
      <c r="E40" s="16">
        <f t="shared" si="1"/>
        <v>0.20652377367671712</v>
      </c>
      <c r="F40" s="16">
        <f t="shared" si="2"/>
        <v>0.18719378974339154</v>
      </c>
      <c r="G40" s="4" t="s">
        <v>69</v>
      </c>
      <c r="H40" s="20">
        <v>0.29960557655707937</v>
      </c>
      <c r="I40" s="4" t="s">
        <v>69</v>
      </c>
      <c r="J40" s="20">
        <v>0.2605712732751696</v>
      </c>
    </row>
    <row r="41" spans="1:10" x14ac:dyDescent="0.25">
      <c r="A41" s="28" t="s">
        <v>79</v>
      </c>
      <c r="B41" s="29"/>
      <c r="C41" s="10">
        <f>AVERAGE(depots!B5:K5)</f>
        <v>3.5757380000000003E-4</v>
      </c>
      <c r="D41" s="11">
        <f>AVERAGE(depots!B29:K29)</f>
        <v>2.7677579999999994E-4</v>
      </c>
      <c r="E41" s="16">
        <f t="shared" si="1"/>
        <v>0.29192581143293633</v>
      </c>
      <c r="F41" s="16">
        <f t="shared" si="2"/>
        <v>0.25474281058898784</v>
      </c>
      <c r="G41" s="4" t="s">
        <v>139</v>
      </c>
      <c r="H41" s="20">
        <v>0.3089949578843697</v>
      </c>
      <c r="I41" s="4" t="s">
        <v>139</v>
      </c>
      <c r="J41" s="20">
        <v>0.26764454970268808</v>
      </c>
    </row>
    <row r="42" spans="1:10" x14ac:dyDescent="0.25">
      <c r="A42" s="28" t="s">
        <v>80</v>
      </c>
      <c r="B42" s="29"/>
      <c r="C42" s="10">
        <f>AVERAGE(depots!B6:K6)</f>
        <v>1.0103039000000002E-3</v>
      </c>
      <c r="D42" s="11">
        <f>AVERAGE(depots!B30:K30)</f>
        <v>7.9589929999999997E-4</v>
      </c>
      <c r="E42" s="16">
        <f t="shared" si="1"/>
        <v>0.26938659199725429</v>
      </c>
      <c r="F42" s="16">
        <f t="shared" si="2"/>
        <v>0.23740916858081113</v>
      </c>
      <c r="G42" s="4" t="s">
        <v>102</v>
      </c>
      <c r="H42" s="20">
        <v>0.31804003558822586</v>
      </c>
      <c r="I42" s="4" t="s">
        <v>102</v>
      </c>
      <c r="J42" s="20">
        <v>0.27440426455578459</v>
      </c>
    </row>
    <row r="43" spans="1:10" x14ac:dyDescent="0.25">
      <c r="A43" s="28" t="s">
        <v>81</v>
      </c>
      <c r="B43" s="29"/>
      <c r="C43" s="10">
        <f>AVERAGE(depots!B7:K7)</f>
        <v>5.4636729999999996E-4</v>
      </c>
      <c r="D43" s="11">
        <f>AVERAGE(depots!B31:K31)</f>
        <v>4.6524249999999989E-4</v>
      </c>
      <c r="E43" s="16">
        <f t="shared" si="1"/>
        <v>0.17437100006985626</v>
      </c>
      <c r="F43" s="16">
        <f t="shared" si="2"/>
        <v>0.16038753282144969</v>
      </c>
      <c r="G43" s="4" t="s">
        <v>103</v>
      </c>
      <c r="H43" s="20">
        <v>0.32169780267456199</v>
      </c>
      <c r="I43" s="4" t="s">
        <v>103</v>
      </c>
      <c r="J43" s="20">
        <v>0.27712289024348546</v>
      </c>
    </row>
    <row r="44" spans="1:10" x14ac:dyDescent="0.25">
      <c r="A44" s="28" t="s">
        <v>82</v>
      </c>
      <c r="B44" s="29"/>
      <c r="C44" s="10">
        <f>AVERAGE(depots!B8:K8)</f>
        <v>4.8441589999999996E-4</v>
      </c>
      <c r="D44" s="11">
        <f>AVERAGE(depots!B32:K32)</f>
        <v>2.5377700000000001E-4</v>
      </c>
      <c r="E44" s="16">
        <f t="shared" si="1"/>
        <v>0.9088250708299016</v>
      </c>
      <c r="F44" s="16">
        <f t="shared" si="2"/>
        <v>0.62487433840124973</v>
      </c>
      <c r="G44" s="4" t="s">
        <v>109</v>
      </c>
      <c r="H44" s="20">
        <v>0.32274982084098797</v>
      </c>
      <c r="I44" s="4" t="s">
        <v>109</v>
      </c>
      <c r="J44" s="20">
        <v>0.27790321449611077</v>
      </c>
    </row>
    <row r="45" spans="1:10" x14ac:dyDescent="0.25">
      <c r="A45" s="28" t="s">
        <v>83</v>
      </c>
      <c r="B45" s="29"/>
      <c r="C45" s="10">
        <f>AVERAGE(depots!B9:K9)</f>
        <v>5.2252900000000009E-4</v>
      </c>
      <c r="D45" s="11">
        <f>AVERAGE(depots!B33:K33)</f>
        <v>4.1891869999999997E-4</v>
      </c>
      <c r="E45" s="16">
        <f t="shared" si="1"/>
        <v>0.2473279421520217</v>
      </c>
      <c r="F45" s="16">
        <f t="shared" si="2"/>
        <v>0.220108456369908</v>
      </c>
      <c r="G45" s="4" t="s">
        <v>90</v>
      </c>
      <c r="H45" s="20">
        <v>0.32596939544159942</v>
      </c>
      <c r="I45" s="4" t="s">
        <v>90</v>
      </c>
      <c r="J45" s="20">
        <v>0.28028691699936337</v>
      </c>
    </row>
    <row r="46" spans="1:10" x14ac:dyDescent="0.25">
      <c r="A46" s="28" t="s">
        <v>84</v>
      </c>
      <c r="B46" s="29"/>
      <c r="C46" s="10">
        <f>AVERAGE(depots!B10:K10)</f>
        <v>7.1286169999999999E-4</v>
      </c>
      <c r="D46" s="11">
        <f>AVERAGE(depots!B34:K34)</f>
        <v>6.1023149999999999E-4</v>
      </c>
      <c r="E46" s="16">
        <f t="shared" si="1"/>
        <v>0.16818240290774894</v>
      </c>
      <c r="F46" s="16">
        <f t="shared" si="2"/>
        <v>0.15513676587560118</v>
      </c>
      <c r="G46" s="4" t="s">
        <v>144</v>
      </c>
      <c r="H46" s="20">
        <v>0.3370906007236274</v>
      </c>
      <c r="I46" s="4" t="s">
        <v>144</v>
      </c>
      <c r="J46" s="20">
        <v>0.28847028918712431</v>
      </c>
    </row>
    <row r="47" spans="1:10" x14ac:dyDescent="0.25">
      <c r="A47" s="28" t="s">
        <v>85</v>
      </c>
      <c r="B47" s="29"/>
      <c r="C47" s="10">
        <f>AVERAGE(depots!B11:K11)</f>
        <v>2.5349730000000004E-4</v>
      </c>
      <c r="D47" s="11">
        <f>AVERAGE(depots!B35:K35)</f>
        <v>2.0894629999999997E-4</v>
      </c>
      <c r="E47" s="16">
        <f t="shared" si="1"/>
        <v>0.21321746305151168</v>
      </c>
      <c r="F47" s="16">
        <f t="shared" si="2"/>
        <v>0.19267646908725766</v>
      </c>
      <c r="G47" s="4" t="s">
        <v>143</v>
      </c>
      <c r="H47" s="20">
        <v>0.3379415858522184</v>
      </c>
      <c r="I47" s="4" t="s">
        <v>143</v>
      </c>
      <c r="J47" s="20">
        <v>0.28909326725460771</v>
      </c>
    </row>
    <row r="48" spans="1:10" x14ac:dyDescent="0.25">
      <c r="A48" s="28" t="s">
        <v>86</v>
      </c>
      <c r="B48" s="29"/>
      <c r="C48" s="10">
        <f>AVERAGE(depots!B12:K12)</f>
        <v>6.3173710000000009E-4</v>
      </c>
      <c r="D48" s="11">
        <f>AVERAGE(depots!B36:K36)</f>
        <v>5.0596829999999997E-4</v>
      </c>
      <c r="E48" s="16">
        <f t="shared" si="1"/>
        <v>0.24857051321199397</v>
      </c>
      <c r="F48" s="16">
        <f t="shared" si="2"/>
        <v>0.22109203313968645</v>
      </c>
      <c r="G48" s="4" t="s">
        <v>92</v>
      </c>
      <c r="H48" s="20">
        <v>0.33962145811892236</v>
      </c>
      <c r="I48" s="4" t="s">
        <v>92</v>
      </c>
      <c r="J48" s="20">
        <v>0.29032171588303113</v>
      </c>
    </row>
    <row r="49" spans="1:10" x14ac:dyDescent="0.25">
      <c r="A49" s="28" t="s">
        <v>87</v>
      </c>
      <c r="B49" s="29"/>
      <c r="C49" s="10">
        <f>AVERAGE(depots!B13:K13)</f>
        <v>1.1252963000000001E-3</v>
      </c>
      <c r="D49" s="11">
        <f>AVERAGE(depots!B37:K37)</f>
        <v>9.0319459999999995E-4</v>
      </c>
      <c r="E49" s="16">
        <f t="shared" si="1"/>
        <v>0.24590680679446067</v>
      </c>
      <c r="F49" s="16">
        <f t="shared" si="2"/>
        <v>0.21898220001874319</v>
      </c>
      <c r="G49" s="4" t="s">
        <v>138</v>
      </c>
      <c r="H49" s="20">
        <v>0.34038836301073649</v>
      </c>
      <c r="I49" s="4" t="s">
        <v>138</v>
      </c>
      <c r="J49" s="20">
        <v>0.29088194796256128</v>
      </c>
    </row>
    <row r="50" spans="1:10" x14ac:dyDescent="0.25">
      <c r="A50" s="28" t="s">
        <v>88</v>
      </c>
      <c r="B50" s="29"/>
      <c r="C50" s="10">
        <f>AVERAGE(depots!B14:K14)</f>
        <v>2.7089760000000002E-4</v>
      </c>
      <c r="D50" s="11">
        <f>AVERAGE(depots!B38:K38)</f>
        <v>2.1725E-4</v>
      </c>
      <c r="E50" s="16">
        <f t="shared" si="1"/>
        <v>0.24693947065592647</v>
      </c>
      <c r="F50" s="16">
        <f t="shared" si="2"/>
        <v>0.2198007324014295</v>
      </c>
      <c r="G50" s="4" t="s">
        <v>110</v>
      </c>
      <c r="H50" s="20">
        <v>0.3435221127544632</v>
      </c>
      <c r="I50" s="4" t="s">
        <v>110</v>
      </c>
      <c r="J50" s="20">
        <v>0.29316737476882931</v>
      </c>
    </row>
    <row r="51" spans="1:10" x14ac:dyDescent="0.25">
      <c r="A51" s="28" t="s">
        <v>89</v>
      </c>
      <c r="B51" s="29"/>
      <c r="C51" s="10">
        <f>AVERAGE(depots!B15:K15)</f>
        <v>4.6374970000000008E-4</v>
      </c>
      <c r="D51" s="11">
        <f>AVERAGE(depots!B39:K39)</f>
        <v>3.6163279999999997E-4</v>
      </c>
      <c r="E51" s="16">
        <f t="shared" si="1"/>
        <v>0.28237731754420542</v>
      </c>
      <c r="F51" s="16">
        <f t="shared" si="2"/>
        <v>0.24744139838196255</v>
      </c>
      <c r="G51" s="4" t="s">
        <v>112</v>
      </c>
      <c r="H51" s="20">
        <v>0.34808363603979664</v>
      </c>
      <c r="I51" s="4" t="s">
        <v>112</v>
      </c>
      <c r="J51" s="20">
        <v>0.29648316669576852</v>
      </c>
    </row>
    <row r="52" spans="1:10" x14ac:dyDescent="0.25">
      <c r="A52" s="28" t="s">
        <v>90</v>
      </c>
      <c r="B52" s="29"/>
      <c r="C52" s="10">
        <f>AVERAGE(depots!B16:K16)</f>
        <v>9.2414100000000007E-5</v>
      </c>
      <c r="D52" s="11">
        <f>AVERAGE(depots!B40:K40)</f>
        <v>6.9695500000000011E-5</v>
      </c>
      <c r="E52" s="16">
        <f t="shared" si="1"/>
        <v>0.32596939544159942</v>
      </c>
      <c r="F52" s="16">
        <f t="shared" si="2"/>
        <v>0.28028691699936337</v>
      </c>
      <c r="G52" s="4" t="s">
        <v>95</v>
      </c>
      <c r="H52" s="20">
        <v>0.34927588750060146</v>
      </c>
      <c r="I52" s="4" t="s">
        <v>95</v>
      </c>
      <c r="J52" s="20">
        <v>0.29734769710014491</v>
      </c>
    </row>
    <row r="53" spans="1:10" x14ac:dyDescent="0.25">
      <c r="A53" s="28" t="s">
        <v>91</v>
      </c>
      <c r="B53" s="29"/>
      <c r="C53" s="10">
        <f>AVERAGE(depots!B17:K17)</f>
        <v>9.7638900000000003E-4</v>
      </c>
      <c r="D53" s="11">
        <f>AVERAGE(depots!B41:K41)</f>
        <v>2.6623289999999996E-4</v>
      </c>
      <c r="E53" s="16">
        <f t="shared" si="1"/>
        <v>2.6674242740097114</v>
      </c>
      <c r="F53" s="16">
        <f t="shared" si="2"/>
        <v>1.1429962726393281</v>
      </c>
      <c r="G53" s="4" t="s">
        <v>125</v>
      </c>
      <c r="H53" s="20">
        <v>0.34968588217462554</v>
      </c>
      <c r="I53" s="4" t="s">
        <v>125</v>
      </c>
      <c r="J53" s="20">
        <v>0.2976447914399456</v>
      </c>
    </row>
    <row r="54" spans="1:10" x14ac:dyDescent="0.25">
      <c r="A54" s="28" t="s">
        <v>92</v>
      </c>
      <c r="B54" s="29"/>
      <c r="C54" s="10">
        <f>AVERAGE(depots!B18:K18)</f>
        <v>5.1688449999999996E-4</v>
      </c>
      <c r="D54" s="11">
        <f>AVERAGE(depots!B42:K42)</f>
        <v>3.8584369999999994E-4</v>
      </c>
      <c r="E54" s="16">
        <f t="shared" si="1"/>
        <v>0.33962145811892236</v>
      </c>
      <c r="F54" s="16">
        <f t="shared" si="2"/>
        <v>0.29032171588303113</v>
      </c>
      <c r="G54" s="4" t="s">
        <v>48</v>
      </c>
      <c r="H54" s="20">
        <v>0.34970492982870927</v>
      </c>
      <c r="I54" s="4" t="s">
        <v>48</v>
      </c>
      <c r="J54" s="20">
        <v>0.29765859141658468</v>
      </c>
    </row>
    <row r="55" spans="1:10" x14ac:dyDescent="0.25">
      <c r="A55" s="28" t="s">
        <v>93</v>
      </c>
      <c r="B55" s="29"/>
      <c r="C55" s="10">
        <f>AVERAGE(depots!B19:K19)</f>
        <v>9.120583000000002E-4</v>
      </c>
      <c r="D55" s="11">
        <f>AVERAGE(depots!B43:K43)</f>
        <v>7.3893930000000008E-4</v>
      </c>
      <c r="E55" s="16">
        <f t="shared" si="1"/>
        <v>0.23428040706455874</v>
      </c>
      <c r="F55" s="16">
        <f t="shared" si="2"/>
        <v>0.20971441751338718</v>
      </c>
      <c r="G55" s="4" t="s">
        <v>56</v>
      </c>
      <c r="H55" s="20">
        <v>0.35131766441750245</v>
      </c>
      <c r="I55" s="4" t="s">
        <v>56</v>
      </c>
      <c r="J55" s="20">
        <v>0.29882620263011994</v>
      </c>
    </row>
    <row r="56" spans="1:10" x14ac:dyDescent="0.25">
      <c r="A56" s="28" t="s">
        <v>94</v>
      </c>
      <c r="B56" s="29"/>
      <c r="C56" s="10">
        <f>AVERAGE(depots!B20:K20)</f>
        <v>4.9351270000000001E-4</v>
      </c>
      <c r="D56" s="11">
        <f>AVERAGE(depots!B44:K44)</f>
        <v>3.9727319999999998E-4</v>
      </c>
      <c r="E56" s="16">
        <f t="shared" si="1"/>
        <v>0.24225016940483285</v>
      </c>
      <c r="F56" s="16">
        <f t="shared" si="2"/>
        <v>0.21607773540196368</v>
      </c>
      <c r="G56" s="4" t="s">
        <v>113</v>
      </c>
      <c r="H56" s="20">
        <v>0.36057749082773627</v>
      </c>
      <c r="I56" s="4" t="s">
        <v>113</v>
      </c>
      <c r="J56" s="20">
        <v>0.30549938922047398</v>
      </c>
    </row>
    <row r="57" spans="1:10" x14ac:dyDescent="0.25">
      <c r="A57" s="28" t="s">
        <v>95</v>
      </c>
      <c r="B57" s="29"/>
      <c r="C57" s="10">
        <f>AVERAGE(depots!B21:K21)</f>
        <v>1.373942E-3</v>
      </c>
      <c r="D57" s="11">
        <f>AVERAGE(depots!B45:K45)</f>
        <v>1.018281E-3</v>
      </c>
      <c r="E57" s="16">
        <f t="shared" si="1"/>
        <v>0.34927588750060146</v>
      </c>
      <c r="F57" s="16">
        <f t="shared" si="2"/>
        <v>0.29734769710014491</v>
      </c>
      <c r="G57" s="4" t="s">
        <v>100</v>
      </c>
      <c r="H57" s="20">
        <v>0.36606194309404183</v>
      </c>
      <c r="I57" s="4" t="s">
        <v>100</v>
      </c>
      <c r="J57" s="20">
        <v>0.30942718483130793</v>
      </c>
    </row>
    <row r="58" spans="1:10" x14ac:dyDescent="0.25">
      <c r="A58" s="28" t="s">
        <v>96</v>
      </c>
      <c r="B58" s="29"/>
      <c r="C58" s="10">
        <f>AVERAGE(depots!B22:K22)</f>
        <v>4.6426289999999999E-4</v>
      </c>
      <c r="D58" s="11">
        <f>AVERAGE(depots!B46:K46)</f>
        <v>4.1705310000000005E-4</v>
      </c>
      <c r="E58" s="16">
        <f t="shared" si="1"/>
        <v>0.11319853515055979</v>
      </c>
      <c r="F58" s="16">
        <f t="shared" si="2"/>
        <v>0.10713478479909574</v>
      </c>
      <c r="G58" s="4" t="s">
        <v>135</v>
      </c>
      <c r="H58" s="20">
        <v>0.36675373848344478</v>
      </c>
      <c r="I58" s="4" t="s">
        <v>135</v>
      </c>
      <c r="J58" s="20">
        <v>0.30992133445911546</v>
      </c>
    </row>
    <row r="59" spans="1:10" x14ac:dyDescent="0.25">
      <c r="A59" s="30" t="s">
        <v>97</v>
      </c>
      <c r="B59" s="31"/>
      <c r="C59" s="10">
        <f>AVERAGE(depots!B23:K23)</f>
        <v>5.0708699999999991E-5</v>
      </c>
      <c r="D59" s="11">
        <f>AVERAGE(depots!B47:K47)</f>
        <v>3.6060699999999998E-5</v>
      </c>
      <c r="E59" s="17">
        <f t="shared" si="1"/>
        <v>0.40620398383836126</v>
      </c>
      <c r="F59" s="16">
        <f t="shared" si="2"/>
        <v>0.33763054717446456</v>
      </c>
      <c r="G59" s="4" t="s">
        <v>64</v>
      </c>
      <c r="H59" s="20">
        <v>0.37126392152382554</v>
      </c>
      <c r="I59" s="4" t="s">
        <v>64</v>
      </c>
      <c r="J59" s="20">
        <v>0.31313589192150598</v>
      </c>
    </row>
    <row r="60" spans="1:10" x14ac:dyDescent="0.25">
      <c r="A60" s="33" t="s">
        <v>98</v>
      </c>
      <c r="B60" s="36"/>
      <c r="C60" s="8">
        <f>AVERAGE(gripper!B2:K2)</f>
        <v>1.3579879999999999E-4</v>
      </c>
      <c r="D60" s="9">
        <f>AVERAGE(gripper!B24:K24)</f>
        <v>9.6472299999999988E-5</v>
      </c>
      <c r="E60" s="15">
        <f t="shared" si="1"/>
        <v>0.40764551068026789</v>
      </c>
      <c r="F60" s="16">
        <f t="shared" si="2"/>
        <v>0.33862585573495807</v>
      </c>
      <c r="G60" s="4" t="s">
        <v>107</v>
      </c>
      <c r="H60" s="20">
        <v>0.3792995323154052</v>
      </c>
      <c r="I60" s="4" t="s">
        <v>107</v>
      </c>
      <c r="J60" s="20">
        <v>0.31883293983275107</v>
      </c>
    </row>
    <row r="61" spans="1:10" x14ac:dyDescent="0.25">
      <c r="A61" s="28" t="s">
        <v>99</v>
      </c>
      <c r="B61" s="32"/>
      <c r="C61" s="10">
        <f>AVERAGE(gripper!B3:K3)</f>
        <v>1.813761E-4</v>
      </c>
      <c r="D61" s="11">
        <f>AVERAGE(gripper!B25:K25)</f>
        <v>1.8258899999999998E-4</v>
      </c>
      <c r="E61" s="16">
        <f t="shared" si="1"/>
        <v>-6.6427879006949108E-3</v>
      </c>
      <c r="F61" s="16">
        <f t="shared" si="2"/>
        <v>6.6649247414105528E-3</v>
      </c>
      <c r="G61" s="4" t="s">
        <v>132</v>
      </c>
      <c r="H61" s="20">
        <v>0.3793732647455596</v>
      </c>
      <c r="I61" s="4" t="s">
        <v>132</v>
      </c>
      <c r="J61" s="20">
        <v>0.31888503612830854</v>
      </c>
    </row>
    <row r="62" spans="1:10" x14ac:dyDescent="0.25">
      <c r="A62" s="28" t="s">
        <v>100</v>
      </c>
      <c r="B62" s="32"/>
      <c r="C62" s="10">
        <f>AVERAGE(gripper!B4:K4)</f>
        <v>2.317117E-4</v>
      </c>
      <c r="D62" s="11">
        <f>AVERAGE(gripper!B26:K26)</f>
        <v>1.6962020000000001E-4</v>
      </c>
      <c r="E62" s="16">
        <f t="shared" si="1"/>
        <v>0.36606194309404183</v>
      </c>
      <c r="F62" s="16">
        <f t="shared" si="2"/>
        <v>0.30942718483130793</v>
      </c>
      <c r="G62" s="4" t="s">
        <v>116</v>
      </c>
      <c r="H62" s="20">
        <v>0.3803900250732834</v>
      </c>
      <c r="I62" s="4" t="s">
        <v>116</v>
      </c>
      <c r="J62" s="20">
        <v>0.31960310794998614</v>
      </c>
    </row>
    <row r="63" spans="1:10" x14ac:dyDescent="0.25">
      <c r="A63" s="28" t="s">
        <v>101</v>
      </c>
      <c r="B63" s="32"/>
      <c r="C63" s="10">
        <f>AVERAGE(gripper!B5:K5)</f>
        <v>2.8955780000000002E-4</v>
      </c>
      <c r="D63" s="11">
        <f>AVERAGE(gripper!B27:K27)</f>
        <v>2.0614719999999999E-4</v>
      </c>
      <c r="E63" s="16">
        <f t="shared" si="1"/>
        <v>0.40461670107573633</v>
      </c>
      <c r="F63" s="16">
        <f t="shared" si="2"/>
        <v>0.33653322036291755</v>
      </c>
      <c r="G63" s="4" t="s">
        <v>126</v>
      </c>
      <c r="H63" s="20">
        <v>0.38209438385804123</v>
      </c>
      <c r="I63" s="4" t="s">
        <v>126</v>
      </c>
      <c r="J63" s="20">
        <v>0.32080541094194676</v>
      </c>
    </row>
    <row r="64" spans="1:10" x14ac:dyDescent="0.25">
      <c r="A64" s="28" t="s">
        <v>102</v>
      </c>
      <c r="B64" s="32"/>
      <c r="C64" s="10">
        <f>AVERAGE(gripper!B6:K6)</f>
        <v>3.3910019999999996E-4</v>
      </c>
      <c r="D64" s="11">
        <f>AVERAGE(gripper!B28:K28)</f>
        <v>2.572761E-4</v>
      </c>
      <c r="E64" s="16">
        <f t="shared" si="1"/>
        <v>0.31804003558822586</v>
      </c>
      <c r="F64" s="16">
        <f t="shared" si="2"/>
        <v>0.27440426455578459</v>
      </c>
      <c r="G64" s="4" t="s">
        <v>111</v>
      </c>
      <c r="H64" s="20">
        <v>0.39003562237355838</v>
      </c>
      <c r="I64" s="4" t="s">
        <v>111</v>
      </c>
      <c r="J64" s="20">
        <v>0.32638477746721761</v>
      </c>
    </row>
    <row r="65" spans="1:10" x14ac:dyDescent="0.25">
      <c r="A65" s="28" t="s">
        <v>103</v>
      </c>
      <c r="B65" s="32"/>
      <c r="C65" s="10">
        <f>AVERAGE(gripper!B7:K7)</f>
        <v>3.7623409999999996E-4</v>
      </c>
      <c r="D65" s="11">
        <f>AVERAGE(gripper!B29:K29)</f>
        <v>2.8465969999999995E-4</v>
      </c>
      <c r="E65" s="16">
        <f t="shared" si="1"/>
        <v>0.32169780267456199</v>
      </c>
      <c r="F65" s="16">
        <f t="shared" si="2"/>
        <v>0.27712289024348546</v>
      </c>
      <c r="G65" s="4" t="s">
        <v>106</v>
      </c>
      <c r="H65" s="20">
        <v>0.39337504797595485</v>
      </c>
      <c r="I65" s="4" t="s">
        <v>106</v>
      </c>
      <c r="J65" s="20">
        <v>0.32871993740272909</v>
      </c>
    </row>
    <row r="66" spans="1:10" x14ac:dyDescent="0.25">
      <c r="A66" s="28" t="s">
        <v>104</v>
      </c>
      <c r="B66" s="32"/>
      <c r="C66" s="10">
        <f>AVERAGE(gripper!B8:K8)</f>
        <v>4.2386380000000002E-4</v>
      </c>
      <c r="D66" s="11">
        <f>AVERAGE(gripper!B30:K30)</f>
        <v>3.3714110000000004E-4</v>
      </c>
      <c r="E66" s="16">
        <f t="shared" si="1"/>
        <v>0.25722968810388286</v>
      </c>
      <c r="F66" s="16">
        <f t="shared" si="2"/>
        <v>0.22791627228681438</v>
      </c>
      <c r="G66" s="4" t="s">
        <v>118</v>
      </c>
      <c r="H66" s="20">
        <v>0.39655824205508489</v>
      </c>
      <c r="I66" s="4" t="s">
        <v>118</v>
      </c>
      <c r="J66" s="20">
        <v>0.330939791152357</v>
      </c>
    </row>
    <row r="67" spans="1:10" x14ac:dyDescent="0.25">
      <c r="A67" s="28" t="s">
        <v>105</v>
      </c>
      <c r="B67" s="32"/>
      <c r="C67" s="10">
        <f>AVERAGE(gripper!B9:K9)</f>
        <v>6.5874770000000002E-4</v>
      </c>
      <c r="D67" s="11">
        <f>AVERAGE(gripper!B31:K31)</f>
        <v>3.5202250000000002E-4</v>
      </c>
      <c r="E67" s="16">
        <f t="shared" si="1"/>
        <v>0.87132271374699055</v>
      </c>
      <c r="F67" s="16">
        <f t="shared" ref="F67:F98" si="3">ABS(C67 - D67) / (ABS(C67 + D67) / 2)</f>
        <v>0.60691381681019085</v>
      </c>
      <c r="G67" s="4" t="s">
        <v>128</v>
      </c>
      <c r="H67" s="20">
        <v>0.3982492675180912</v>
      </c>
      <c r="I67" s="4" t="s">
        <v>128</v>
      </c>
      <c r="J67" s="20">
        <v>0.33211665935812656</v>
      </c>
    </row>
    <row r="68" spans="1:10" x14ac:dyDescent="0.25">
      <c r="A68" s="28" t="s">
        <v>106</v>
      </c>
      <c r="B68" s="32"/>
      <c r="C68" s="10">
        <f>AVERAGE(gripper!B10:K10)</f>
        <v>5.4165559999999992E-4</v>
      </c>
      <c r="D68" s="11">
        <f>AVERAGE(gripper!B32:K32)</f>
        <v>3.8873639999999996E-4</v>
      </c>
      <c r="E68" s="16">
        <f t="shared" ref="E68:E107" si="4">(C68 - D68)/D68</f>
        <v>0.39337504797595485</v>
      </c>
      <c r="F68" s="16">
        <f t="shared" si="3"/>
        <v>0.32871993740272909</v>
      </c>
      <c r="G68" s="4" t="s">
        <v>108</v>
      </c>
      <c r="H68" s="20">
        <v>0.39958998444009658</v>
      </c>
      <c r="I68" s="4" t="s">
        <v>108</v>
      </c>
      <c r="J68" s="20">
        <v>0.33304855165357267</v>
      </c>
    </row>
    <row r="69" spans="1:10" x14ac:dyDescent="0.25">
      <c r="A69" s="28" t="s">
        <v>107</v>
      </c>
      <c r="B69" s="32"/>
      <c r="C69" s="10">
        <f>AVERAGE(gripper!B11:K11)</f>
        <v>5.9119840000000006E-4</v>
      </c>
      <c r="D69" s="11">
        <f>AVERAGE(gripper!B33:K33)</f>
        <v>4.2862219999999999E-4</v>
      </c>
      <c r="E69" s="16">
        <f t="shared" si="4"/>
        <v>0.3792995323154052</v>
      </c>
      <c r="F69" s="16">
        <f t="shared" si="3"/>
        <v>0.31883293983275107</v>
      </c>
      <c r="G69" s="4" t="s">
        <v>124</v>
      </c>
      <c r="H69" s="20">
        <v>0.40045869324842809</v>
      </c>
      <c r="I69" s="4" t="s">
        <v>124</v>
      </c>
      <c r="J69" s="20">
        <v>0.33365180944355777</v>
      </c>
    </row>
    <row r="70" spans="1:10" x14ac:dyDescent="0.25">
      <c r="A70" s="28" t="s">
        <v>108</v>
      </c>
      <c r="B70" s="32"/>
      <c r="C70" s="10">
        <f>AVERAGE(gripper!B12:K12)</f>
        <v>6.359359E-4</v>
      </c>
      <c r="D70" s="11">
        <f>AVERAGE(gripper!B34:K34)</f>
        <v>4.5437299999999999E-4</v>
      </c>
      <c r="E70" s="16">
        <f t="shared" si="4"/>
        <v>0.39958998444009658</v>
      </c>
      <c r="F70" s="16">
        <f t="shared" si="3"/>
        <v>0.33304855165357267</v>
      </c>
      <c r="G70" s="4" t="s">
        <v>101</v>
      </c>
      <c r="H70" s="20">
        <v>0.40461670107573633</v>
      </c>
      <c r="I70" s="4" t="s">
        <v>101</v>
      </c>
      <c r="J70" s="20">
        <v>0.33653322036291755</v>
      </c>
    </row>
    <row r="71" spans="1:10" x14ac:dyDescent="0.25">
      <c r="A71" s="28" t="s">
        <v>109</v>
      </c>
      <c r="B71" s="32"/>
      <c r="C71" s="10">
        <f>AVERAGE(gripper!B13:K13)</f>
        <v>6.724163E-4</v>
      </c>
      <c r="D71" s="11">
        <f>AVERAGE(gripper!B35:K35)</f>
        <v>5.0834730000000002E-4</v>
      </c>
      <c r="E71" s="16">
        <f t="shared" si="4"/>
        <v>0.32274982084098797</v>
      </c>
      <c r="F71" s="16">
        <f t="shared" si="3"/>
        <v>0.27790321449611077</v>
      </c>
      <c r="G71" s="4" t="s">
        <v>97</v>
      </c>
      <c r="H71" s="20">
        <v>0.40620398383836126</v>
      </c>
      <c r="I71" s="4" t="s">
        <v>97</v>
      </c>
      <c r="J71" s="20">
        <v>0.33763054717446456</v>
      </c>
    </row>
    <row r="72" spans="1:10" x14ac:dyDescent="0.25">
      <c r="A72" s="28" t="s">
        <v>110</v>
      </c>
      <c r="B72" s="32"/>
      <c r="C72" s="10">
        <f>AVERAGE(gripper!B14:K14)</f>
        <v>7.3198860000000003E-4</v>
      </c>
      <c r="D72" s="11">
        <f>AVERAGE(gripper!B36:K36)</f>
        <v>5.4482810000000006E-4</v>
      </c>
      <c r="E72" s="16">
        <f t="shared" si="4"/>
        <v>0.3435221127544632</v>
      </c>
      <c r="F72" s="16">
        <f t="shared" si="3"/>
        <v>0.29316737476882931</v>
      </c>
      <c r="G72" s="4" t="s">
        <v>131</v>
      </c>
      <c r="H72" s="20">
        <v>0.40651902411044299</v>
      </c>
      <c r="I72" s="4" t="s">
        <v>131</v>
      </c>
      <c r="J72" s="20">
        <v>0.33784816993974159</v>
      </c>
    </row>
    <row r="73" spans="1:10" x14ac:dyDescent="0.25">
      <c r="A73" s="28" t="s">
        <v>111</v>
      </c>
      <c r="B73" s="32"/>
      <c r="C73" s="10">
        <f>AVERAGE(gripper!B15:K15)</f>
        <v>8.0700200000000002E-4</v>
      </c>
      <c r="D73" s="11">
        <f>AVERAGE(gripper!B37:K37)</f>
        <v>5.805621E-4</v>
      </c>
      <c r="E73" s="16">
        <f t="shared" si="4"/>
        <v>0.39003562237355838</v>
      </c>
      <c r="F73" s="16">
        <f t="shared" si="3"/>
        <v>0.32638477746721761</v>
      </c>
      <c r="G73" s="4" t="s">
        <v>98</v>
      </c>
      <c r="H73" s="20">
        <v>0.40764551068026789</v>
      </c>
      <c r="I73" s="4" t="s">
        <v>98</v>
      </c>
      <c r="J73" s="20">
        <v>0.33862585573495807</v>
      </c>
    </row>
    <row r="74" spans="1:10" x14ac:dyDescent="0.25">
      <c r="A74" s="28" t="s">
        <v>112</v>
      </c>
      <c r="B74" s="32"/>
      <c r="C74" s="10">
        <f>AVERAGE(gripper!B16:K16)</f>
        <v>8.598099000000001E-4</v>
      </c>
      <c r="D74" s="11">
        <f>AVERAGE(gripper!B38:K38)</f>
        <v>6.3780160000000011E-4</v>
      </c>
      <c r="E74" s="16">
        <f t="shared" si="4"/>
        <v>0.34808363603979664</v>
      </c>
      <c r="F74" s="16">
        <f t="shared" si="3"/>
        <v>0.29648316669576852</v>
      </c>
      <c r="G74" s="4" t="s">
        <v>134</v>
      </c>
      <c r="H74" s="20">
        <v>0.40850617108970949</v>
      </c>
      <c r="I74" s="4" t="s">
        <v>134</v>
      </c>
      <c r="J74" s="20">
        <v>0.33921953449252246</v>
      </c>
    </row>
    <row r="75" spans="1:10" x14ac:dyDescent="0.25">
      <c r="A75" s="28" t="s">
        <v>113</v>
      </c>
      <c r="B75" s="32"/>
      <c r="C75" s="10">
        <f>AVERAGE(gripper!B17:K17)</f>
        <v>8.7907659999999989E-4</v>
      </c>
      <c r="D75" s="11">
        <f>AVERAGE(gripper!B39:K39)</f>
        <v>6.4610549999999996E-4</v>
      </c>
      <c r="E75" s="16">
        <f t="shared" si="4"/>
        <v>0.36057749082773627</v>
      </c>
      <c r="F75" s="16">
        <f t="shared" si="3"/>
        <v>0.30549938922047398</v>
      </c>
      <c r="G75" s="4" t="s">
        <v>58</v>
      </c>
      <c r="H75" s="20">
        <v>0.43489017717427442</v>
      </c>
      <c r="I75" s="4" t="s">
        <v>58</v>
      </c>
      <c r="J75" s="20">
        <v>0.35721543521849586</v>
      </c>
    </row>
    <row r="76" spans="1:10" x14ac:dyDescent="0.25">
      <c r="A76" s="28" t="s">
        <v>114</v>
      </c>
      <c r="B76" s="32"/>
      <c r="C76" s="10">
        <f>AVERAGE(gripper!B18:K18)</f>
        <v>1.0335820999999999E-3</v>
      </c>
      <c r="D76" s="11">
        <f>AVERAGE(gripper!B40:K40)</f>
        <v>6.7353589999999994E-4</v>
      </c>
      <c r="E76" s="16">
        <f t="shared" si="4"/>
        <v>0.53456126095134648</v>
      </c>
      <c r="F76" s="16">
        <f t="shared" si="3"/>
        <v>0.42181758964523836</v>
      </c>
      <c r="G76" s="4" t="s">
        <v>121</v>
      </c>
      <c r="H76" s="20">
        <v>0.44636004972166654</v>
      </c>
      <c r="I76" s="4" t="s">
        <v>121</v>
      </c>
      <c r="J76" s="20">
        <v>0.36491770683751229</v>
      </c>
    </row>
    <row r="77" spans="1:10" x14ac:dyDescent="0.25">
      <c r="A77" s="28" t="s">
        <v>115</v>
      </c>
      <c r="B77" s="32"/>
      <c r="C77" s="10">
        <f>AVERAGE(gripper!B19:K19)</f>
        <v>1.0184674999999999E-3</v>
      </c>
      <c r="D77" s="11">
        <f>AVERAGE(gripper!B41:K41)</f>
        <v>6.8197950000000005E-4</v>
      </c>
      <c r="E77" s="16">
        <f t="shared" si="4"/>
        <v>0.49339899513108498</v>
      </c>
      <c r="F77" s="16">
        <f t="shared" si="3"/>
        <v>0.39576417259696989</v>
      </c>
      <c r="G77" s="4" t="s">
        <v>127</v>
      </c>
      <c r="H77" s="20">
        <v>0.44813367756203082</v>
      </c>
      <c r="I77" s="4" t="s">
        <v>127</v>
      </c>
      <c r="J77" s="20">
        <v>0.36610229389785925</v>
      </c>
    </row>
    <row r="78" spans="1:10" x14ac:dyDescent="0.25">
      <c r="A78" s="28" t="s">
        <v>116</v>
      </c>
      <c r="B78" s="32"/>
      <c r="C78" s="10">
        <f>AVERAGE(gripper!B20:K20)</f>
        <v>1.0528017999999997E-3</v>
      </c>
      <c r="D78" s="11">
        <f>AVERAGE(gripper!B42:K42)</f>
        <v>7.6268430000000012E-4</v>
      </c>
      <c r="E78" s="16">
        <f t="shared" si="4"/>
        <v>0.3803900250732834</v>
      </c>
      <c r="F78" s="16">
        <f t="shared" si="3"/>
        <v>0.31960310794998614</v>
      </c>
      <c r="G78" s="4" t="s">
        <v>45</v>
      </c>
      <c r="H78" s="20">
        <v>0.44817047701261481</v>
      </c>
      <c r="I78" s="4" t="s">
        <v>45</v>
      </c>
      <c r="J78" s="20">
        <v>0.36612685368177117</v>
      </c>
    </row>
    <row r="79" spans="1:10" x14ac:dyDescent="0.25">
      <c r="A79" s="30" t="s">
        <v>117</v>
      </c>
      <c r="B79" s="35"/>
      <c r="C79" s="12">
        <f>AVERAGE(gripper!B21:K21)</f>
        <v>1.1692410000000001E-3</v>
      </c>
      <c r="D79" s="13">
        <f>AVERAGE(gripper!B43:K43)</f>
        <v>7.6380389999999995E-4</v>
      </c>
      <c r="E79" s="17">
        <f t="shared" si="4"/>
        <v>0.53081307911624986</v>
      </c>
      <c r="F79" s="16">
        <f t="shared" si="3"/>
        <v>0.41948027177226993</v>
      </c>
      <c r="G79" s="4" t="s">
        <v>122</v>
      </c>
      <c r="H79" s="20">
        <v>0.44875013996667934</v>
      </c>
      <c r="I79" s="4" t="s">
        <v>122</v>
      </c>
      <c r="J79" s="20">
        <v>0.36651362067735144</v>
      </c>
    </row>
    <row r="80" spans="1:10" x14ac:dyDescent="0.25">
      <c r="A80" s="33" t="s">
        <v>118</v>
      </c>
      <c r="B80" s="34"/>
      <c r="C80" s="8">
        <f>AVERAGE(logistics!B2:K2)</f>
        <v>2.0059589999999998E-4</v>
      </c>
      <c r="D80" s="9">
        <f>AVERAGE(logistics!B32:K32)</f>
        <v>1.4363590000000001E-4</v>
      </c>
      <c r="E80" s="15">
        <f t="shared" si="4"/>
        <v>0.39655824205508489</v>
      </c>
      <c r="F80" s="16">
        <f t="shared" si="3"/>
        <v>0.330939791152357</v>
      </c>
      <c r="G80" s="4" t="s">
        <v>119</v>
      </c>
      <c r="H80" s="20">
        <v>0.45070561445553531</v>
      </c>
      <c r="I80" s="4" t="s">
        <v>119</v>
      </c>
      <c r="J80" s="20">
        <v>0.36781701710482023</v>
      </c>
    </row>
    <row r="81" spans="1:10" x14ac:dyDescent="0.25">
      <c r="A81" s="28" t="s">
        <v>119</v>
      </c>
      <c r="B81" s="29"/>
      <c r="C81" s="10">
        <f>AVERAGE(logistics!B3:K3)</f>
        <v>2.1622389999999999E-4</v>
      </c>
      <c r="D81" s="11">
        <f>AVERAGE(logistics!B33:K33)</f>
        <v>1.4904740000000003E-4</v>
      </c>
      <c r="E81" s="16">
        <f t="shared" si="4"/>
        <v>0.45070561445553531</v>
      </c>
      <c r="F81" s="16">
        <f t="shared" si="3"/>
        <v>0.36781701710482023</v>
      </c>
      <c r="G81" s="4" t="s">
        <v>133</v>
      </c>
      <c r="H81" s="20">
        <v>0.45106474528310414</v>
      </c>
      <c r="I81" s="4" t="s">
        <v>133</v>
      </c>
      <c r="J81" s="20">
        <v>0.3680561651022442</v>
      </c>
    </row>
    <row r="82" spans="1:10" x14ac:dyDescent="0.25">
      <c r="A82" s="28" t="s">
        <v>120</v>
      </c>
      <c r="B82" s="29"/>
      <c r="C82" s="10">
        <f>AVERAGE(logistics!B4:K4)</f>
        <v>1.3733819999999999E-4</v>
      </c>
      <c r="D82" s="11">
        <f>AVERAGE(logistics!B34:K34)</f>
        <v>9.3953499999999994E-5</v>
      </c>
      <c r="E82" s="16">
        <f t="shared" si="4"/>
        <v>0.4617677893851746</v>
      </c>
      <c r="F82" s="16">
        <f t="shared" si="3"/>
        <v>0.37515137810825033</v>
      </c>
      <c r="G82" s="4" t="s">
        <v>123</v>
      </c>
      <c r="H82" s="20">
        <v>0.46138619417380378</v>
      </c>
      <c r="I82" s="4" t="s">
        <v>123</v>
      </c>
      <c r="J82" s="20">
        <v>0.37489947352912167</v>
      </c>
    </row>
    <row r="83" spans="1:10" x14ac:dyDescent="0.25">
      <c r="A83" s="28" t="s">
        <v>121</v>
      </c>
      <c r="B83" s="29"/>
      <c r="C83" s="10">
        <f>AVERAGE(logistics!B5:K5)</f>
        <v>2.6226759999999993E-4</v>
      </c>
      <c r="D83" s="11">
        <f>AVERAGE(logistics!B35:K35)</f>
        <v>1.8132939999999999E-4</v>
      </c>
      <c r="E83" s="16">
        <f t="shared" si="4"/>
        <v>0.44636004972166654</v>
      </c>
      <c r="F83" s="16">
        <f t="shared" si="3"/>
        <v>0.36491770683751229</v>
      </c>
      <c r="G83" s="4" t="s">
        <v>120</v>
      </c>
      <c r="H83" s="20">
        <v>0.4617677893851746</v>
      </c>
      <c r="I83" s="4" t="s">
        <v>120</v>
      </c>
      <c r="J83" s="20">
        <v>0.37515137810825033</v>
      </c>
    </row>
    <row r="84" spans="1:10" x14ac:dyDescent="0.25">
      <c r="A84" s="28" t="s">
        <v>122</v>
      </c>
      <c r="B84" s="29"/>
      <c r="C84" s="10">
        <f>AVERAGE(logistics!B6:K6)</f>
        <v>1.7078619999999999E-4</v>
      </c>
      <c r="D84" s="11">
        <f>AVERAGE(logistics!B36:K36)</f>
        <v>1.178852E-4</v>
      </c>
      <c r="E84" s="16">
        <f t="shared" si="4"/>
        <v>0.44875013996667934</v>
      </c>
      <c r="F84" s="16">
        <f t="shared" si="3"/>
        <v>0.36651362067735144</v>
      </c>
      <c r="G84" s="4" t="s">
        <v>59</v>
      </c>
      <c r="H84" s="20">
        <v>0.47638684490899375</v>
      </c>
      <c r="I84" s="4" t="s">
        <v>59</v>
      </c>
      <c r="J84" s="20">
        <v>0.3847434789022236</v>
      </c>
    </row>
    <row r="85" spans="1:10" x14ac:dyDescent="0.25">
      <c r="A85" s="28" t="s">
        <v>123</v>
      </c>
      <c r="B85" s="29"/>
      <c r="C85" s="10">
        <f>AVERAGE(logistics!B7:K7)</f>
        <v>1.041698E-4</v>
      </c>
      <c r="D85" s="11">
        <f>AVERAGE(logistics!B37:K37)</f>
        <v>7.1281500000000005E-5</v>
      </c>
      <c r="E85" s="16">
        <f t="shared" si="4"/>
        <v>0.46138619417380378</v>
      </c>
      <c r="F85" s="16">
        <f t="shared" si="3"/>
        <v>0.37489947352912167</v>
      </c>
      <c r="G85" s="4" t="s">
        <v>115</v>
      </c>
      <c r="H85" s="20">
        <v>0.49339899513108498</v>
      </c>
      <c r="I85" s="4" t="s">
        <v>115</v>
      </c>
      <c r="J85" s="20">
        <v>0.39576417259696989</v>
      </c>
    </row>
    <row r="86" spans="1:10" x14ac:dyDescent="0.25">
      <c r="A86" s="28" t="s">
        <v>124</v>
      </c>
      <c r="B86" s="29"/>
      <c r="C86" s="10">
        <f>AVERAGE(logistics!B8:K8)</f>
        <v>2.2709320000000003E-4</v>
      </c>
      <c r="D86" s="11">
        <f>AVERAGE(logistics!B38:K38)</f>
        <v>1.6215629999999996E-4</v>
      </c>
      <c r="E86" s="16">
        <f t="shared" si="4"/>
        <v>0.40045869324842809</v>
      </c>
      <c r="F86" s="16">
        <f t="shared" si="3"/>
        <v>0.33365180944355777</v>
      </c>
      <c r="G86" s="4" t="s">
        <v>117</v>
      </c>
      <c r="H86" s="20">
        <v>0.53081307911624986</v>
      </c>
      <c r="I86" s="4" t="s">
        <v>117</v>
      </c>
      <c r="J86" s="20">
        <v>0.41948027177226993</v>
      </c>
    </row>
    <row r="87" spans="1:10" x14ac:dyDescent="0.25">
      <c r="A87" s="28" t="s">
        <v>125</v>
      </c>
      <c r="B87" s="29"/>
      <c r="C87" s="10">
        <f>AVERAGE(logistics!B9:K9)</f>
        <v>1.3090050000000002E-4</v>
      </c>
      <c r="D87" s="11">
        <f>AVERAGE(logistics!B39:K39)</f>
        <v>9.6985900000000003E-5</v>
      </c>
      <c r="E87" s="16">
        <f t="shared" si="4"/>
        <v>0.34968588217462554</v>
      </c>
      <c r="F87" s="16">
        <f t="shared" si="3"/>
        <v>0.2976447914399456</v>
      </c>
      <c r="G87" s="4" t="s">
        <v>114</v>
      </c>
      <c r="H87" s="20">
        <v>0.53456126095134648</v>
      </c>
      <c r="I87" s="4" t="s">
        <v>114</v>
      </c>
      <c r="J87" s="20">
        <v>0.42181758964523836</v>
      </c>
    </row>
    <row r="88" spans="1:10" x14ac:dyDescent="0.25">
      <c r="A88" s="28" t="s">
        <v>126</v>
      </c>
      <c r="B88" s="29"/>
      <c r="C88" s="10">
        <f>AVERAGE(logistics!B10:K10)</f>
        <v>2.4771249999999998E-4</v>
      </c>
      <c r="D88" s="11">
        <f>AVERAGE(logistics!B40:K40)</f>
        <v>1.7922980000000002E-4</v>
      </c>
      <c r="E88" s="16">
        <f t="shared" si="4"/>
        <v>0.38209438385804123</v>
      </c>
      <c r="F88" s="16">
        <f t="shared" si="3"/>
        <v>0.32080541094194676</v>
      </c>
      <c r="G88" s="4" t="s">
        <v>130</v>
      </c>
      <c r="H88" s="20">
        <v>0.53628956233450553</v>
      </c>
      <c r="I88" s="4" t="s">
        <v>130</v>
      </c>
      <c r="J88" s="20">
        <v>0.42289300898347149</v>
      </c>
    </row>
    <row r="89" spans="1:10" x14ac:dyDescent="0.25">
      <c r="A89" s="28" t="s">
        <v>127</v>
      </c>
      <c r="B89" s="29"/>
      <c r="C89" s="10">
        <f>AVERAGE(logistics!B11:K11)</f>
        <v>2.624541E-4</v>
      </c>
      <c r="D89" s="11">
        <f>AVERAGE(logistics!B41:K41)</f>
        <v>1.8123610000000002E-4</v>
      </c>
      <c r="E89" s="16">
        <f t="shared" si="4"/>
        <v>0.44813367756203082</v>
      </c>
      <c r="F89" s="16">
        <f t="shared" si="3"/>
        <v>0.36610229389785925</v>
      </c>
      <c r="G89" s="4" t="s">
        <v>55</v>
      </c>
      <c r="H89" s="20">
        <v>0.54828368118211834</v>
      </c>
      <c r="I89" s="4" t="s">
        <v>55</v>
      </c>
      <c r="J89" s="20">
        <v>0.43031604780184918</v>
      </c>
    </row>
    <row r="90" spans="1:10" x14ac:dyDescent="0.25">
      <c r="A90" s="28" t="s">
        <v>128</v>
      </c>
      <c r="B90" s="29"/>
      <c r="C90" s="10">
        <f>AVERAGE(logistics!B12:K12)</f>
        <v>4.0259119999999995E-4</v>
      </c>
      <c r="D90" s="11">
        <f>AVERAGE(logistics!B42:K42)</f>
        <v>2.8792520000000003E-4</v>
      </c>
      <c r="E90" s="16">
        <f t="shared" si="4"/>
        <v>0.3982492675180912</v>
      </c>
      <c r="F90" s="16">
        <f t="shared" si="3"/>
        <v>0.33211665935812656</v>
      </c>
      <c r="G90" s="4" t="s">
        <v>60</v>
      </c>
      <c r="H90" s="20">
        <v>0.61674327211714675</v>
      </c>
      <c r="I90" s="4" t="s">
        <v>60</v>
      </c>
      <c r="J90" s="20">
        <v>0.47138233138029928</v>
      </c>
    </row>
    <row r="91" spans="1:10" x14ac:dyDescent="0.25">
      <c r="A91" s="28" t="s">
        <v>129</v>
      </c>
      <c r="B91" s="29"/>
      <c r="C91" s="10">
        <f>AVERAGE(logistics!B13:K13)</f>
        <v>5.1142650000000011E-4</v>
      </c>
      <c r="D91" s="11">
        <f>AVERAGE(logistics!B43:K43)</f>
        <v>2.9100399999999998E-4</v>
      </c>
      <c r="E91" s="16">
        <f t="shared" si="4"/>
        <v>0.757455223983176</v>
      </c>
      <c r="F91" s="16">
        <f t="shared" si="3"/>
        <v>0.54938714318560944</v>
      </c>
      <c r="G91" s="4" t="s">
        <v>67</v>
      </c>
      <c r="H91" s="20">
        <v>0.67449863263445808</v>
      </c>
      <c r="I91" s="4" t="s">
        <v>67</v>
      </c>
      <c r="J91" s="20">
        <v>0.50439257990575792</v>
      </c>
    </row>
    <row r="92" spans="1:10" x14ac:dyDescent="0.25">
      <c r="A92" s="28" t="s">
        <v>130</v>
      </c>
      <c r="B92" s="29"/>
      <c r="C92" s="10">
        <f>AVERAGE(logistics!B14:K14)</f>
        <v>3.6830330000000005E-4</v>
      </c>
      <c r="D92" s="11">
        <f>AVERAGE(logistics!B44:K44)</f>
        <v>2.3973559999999997E-4</v>
      </c>
      <c r="E92" s="16">
        <f t="shared" si="4"/>
        <v>0.53628956233450553</v>
      </c>
      <c r="F92" s="16">
        <f t="shared" si="3"/>
        <v>0.42289300898347149</v>
      </c>
      <c r="G92" s="4" t="s">
        <v>52</v>
      </c>
      <c r="H92" s="20">
        <v>0.71412950850202894</v>
      </c>
      <c r="I92" s="4" t="s">
        <v>52</v>
      </c>
      <c r="J92" s="20">
        <v>0.52623097480427039</v>
      </c>
    </row>
    <row r="93" spans="1:10" x14ac:dyDescent="0.25">
      <c r="A93" s="28" t="s">
        <v>131</v>
      </c>
      <c r="B93" s="29"/>
      <c r="C93" s="10">
        <f>AVERAGE(logistics!B15:K15)</f>
        <v>4.5903829999999999E-4</v>
      </c>
      <c r="D93" s="11">
        <f>AVERAGE(logistics!B45:K45)</f>
        <v>3.2636480000000005E-4</v>
      </c>
      <c r="E93" s="16">
        <f t="shared" si="4"/>
        <v>0.40651902411044299</v>
      </c>
      <c r="F93" s="16">
        <f t="shared" si="3"/>
        <v>0.33784816993974159</v>
      </c>
      <c r="G93" s="4" t="s">
        <v>54</v>
      </c>
      <c r="H93" s="20">
        <v>0.72077255014451258</v>
      </c>
      <c r="I93" s="4" t="s">
        <v>54</v>
      </c>
      <c r="J93" s="20">
        <v>0.52982933108923724</v>
      </c>
    </row>
    <row r="94" spans="1:10" x14ac:dyDescent="0.25">
      <c r="A94" s="28" t="s">
        <v>132</v>
      </c>
      <c r="B94" s="29"/>
      <c r="C94" s="10">
        <f>AVERAGE(logistics!B16:K16)</f>
        <v>3.2566520000000001E-4</v>
      </c>
      <c r="D94" s="11">
        <f>AVERAGE(logistics!B46:K46)</f>
        <v>2.3609649999999999E-4</v>
      </c>
      <c r="E94" s="16">
        <f t="shared" si="4"/>
        <v>0.3793732647455596</v>
      </c>
      <c r="F94" s="16">
        <f t="shared" si="3"/>
        <v>0.31888503612830854</v>
      </c>
      <c r="G94" s="4" t="s">
        <v>57</v>
      </c>
      <c r="H94" s="20">
        <v>0.74010046267368301</v>
      </c>
      <c r="I94" s="4" t="s">
        <v>57</v>
      </c>
      <c r="J94" s="20">
        <v>0.54019950929209493</v>
      </c>
    </row>
    <row r="95" spans="1:10" x14ac:dyDescent="0.25">
      <c r="A95" s="28" t="s">
        <v>133</v>
      </c>
      <c r="B95" s="29"/>
      <c r="C95" s="10">
        <f>AVERAGE(logistics!B17:K17)</f>
        <v>3.5342220000000001E-4</v>
      </c>
      <c r="D95" s="11">
        <f>AVERAGE(logistics!B47:K47)</f>
        <v>2.4356059999999999E-4</v>
      </c>
      <c r="E95" s="16">
        <f t="shared" si="4"/>
        <v>0.45106474528310414</v>
      </c>
      <c r="F95" s="16">
        <f t="shared" si="3"/>
        <v>0.3680561651022442</v>
      </c>
      <c r="G95" s="4" t="s">
        <v>129</v>
      </c>
      <c r="H95" s="20">
        <v>0.757455223983176</v>
      </c>
      <c r="I95" s="4" t="s">
        <v>129</v>
      </c>
      <c r="J95" s="20">
        <v>0.54938714318560944</v>
      </c>
    </row>
    <row r="96" spans="1:10" x14ac:dyDescent="0.25">
      <c r="A96" s="28" t="s">
        <v>134</v>
      </c>
      <c r="B96" s="29"/>
      <c r="C96" s="10">
        <f>AVERAGE(logistics!B18:K18)</f>
        <v>4.9589149999999999E-4</v>
      </c>
      <c r="D96" s="11">
        <f>AVERAGE(logistics!B48:K48)</f>
        <v>3.5206909999999997E-4</v>
      </c>
      <c r="E96" s="16">
        <f t="shared" si="4"/>
        <v>0.40850617108970949</v>
      </c>
      <c r="F96" s="16">
        <f t="shared" si="3"/>
        <v>0.33921953449252246</v>
      </c>
      <c r="G96" s="4" t="s">
        <v>73</v>
      </c>
      <c r="H96" s="20">
        <v>0.78834032791252384</v>
      </c>
      <c r="I96" s="4" t="s">
        <v>73</v>
      </c>
      <c r="J96" s="20">
        <v>0.56545488369614538</v>
      </c>
    </row>
    <row r="97" spans="1:10" x14ac:dyDescent="0.25">
      <c r="A97" s="28" t="s">
        <v>135</v>
      </c>
      <c r="B97" s="29"/>
      <c r="C97" s="10">
        <f>AVERAGE(logistics!B19:K19)</f>
        <v>3.8854949999999998E-4</v>
      </c>
      <c r="D97" s="11">
        <f>AVERAGE(logistics!B49:K49)</f>
        <v>2.842864E-4</v>
      </c>
      <c r="E97" s="16">
        <f t="shared" si="4"/>
        <v>0.36675373848344478</v>
      </c>
      <c r="F97" s="16">
        <f t="shared" si="3"/>
        <v>0.30992133445911546</v>
      </c>
      <c r="G97" s="4" t="s">
        <v>136</v>
      </c>
      <c r="H97" s="20">
        <v>0.80482752921001255</v>
      </c>
      <c r="I97" s="4" t="s">
        <v>136</v>
      </c>
      <c r="J97" s="20">
        <v>0.57388735729978702</v>
      </c>
    </row>
    <row r="98" spans="1:10" x14ac:dyDescent="0.25">
      <c r="A98" s="28" t="s">
        <v>136</v>
      </c>
      <c r="B98" s="29"/>
      <c r="C98" s="10">
        <f>AVERAGE(logistics!B20:K20)</f>
        <v>3.4941099999999997E-5</v>
      </c>
      <c r="D98" s="11">
        <f>AVERAGE(logistics!B50:K50)</f>
        <v>1.9359799999999997E-5</v>
      </c>
      <c r="E98" s="16">
        <f t="shared" si="4"/>
        <v>0.80482752921001255</v>
      </c>
      <c r="F98" s="16">
        <f t="shared" si="3"/>
        <v>0.57388735729978702</v>
      </c>
      <c r="G98" s="4" t="s">
        <v>105</v>
      </c>
      <c r="H98" s="20">
        <v>0.87132271374699055</v>
      </c>
      <c r="I98" s="4" t="s">
        <v>105</v>
      </c>
      <c r="J98" s="20">
        <v>0.60691381681019085</v>
      </c>
    </row>
    <row r="99" spans="1:10" x14ac:dyDescent="0.25">
      <c r="A99" s="28" t="s">
        <v>137</v>
      </c>
      <c r="B99" s="29"/>
      <c r="C99" s="10">
        <f>AVERAGE(logistics!B21:K21)</f>
        <v>5.5149879999999993E-4</v>
      </c>
      <c r="D99" s="11">
        <f>AVERAGE(logistics!B51:K51)</f>
        <v>5.3619759999999996E-4</v>
      </c>
      <c r="E99" s="16">
        <f t="shared" si="4"/>
        <v>2.8536494754918651E-2</v>
      </c>
      <c r="F99" s="16">
        <f t="shared" ref="F99:F107" si="5">ABS(C99 - D99) / (ABS(C99 + D99) / 2)</f>
        <v>2.8135056804453832E-2</v>
      </c>
      <c r="G99" s="4" t="s">
        <v>53</v>
      </c>
      <c r="H99" s="20">
        <v>0.88994355364495703</v>
      </c>
      <c r="I99" s="4" t="s">
        <v>53</v>
      </c>
      <c r="J99" s="20">
        <v>0.61588992111801688</v>
      </c>
    </row>
    <row r="100" spans="1:10" x14ac:dyDescent="0.25">
      <c r="A100" s="28" t="s">
        <v>138</v>
      </c>
      <c r="B100" s="29"/>
      <c r="C100" s="10">
        <f>AVERAGE(logistics!B22:K22)</f>
        <v>4.609041999999999E-4</v>
      </c>
      <c r="D100" s="11">
        <f>AVERAGE(logistics!B52:K52)</f>
        <v>3.4385869999999997E-4</v>
      </c>
      <c r="E100" s="16">
        <f t="shared" si="4"/>
        <v>0.34038836301073649</v>
      </c>
      <c r="F100" s="16">
        <f t="shared" si="5"/>
        <v>0.29088194796256128</v>
      </c>
      <c r="G100" s="4" t="s">
        <v>82</v>
      </c>
      <c r="H100" s="20">
        <v>0.9088250708299016</v>
      </c>
      <c r="I100" s="4" t="s">
        <v>82</v>
      </c>
      <c r="J100" s="20">
        <v>0.62487433840124973</v>
      </c>
    </row>
    <row r="101" spans="1:10" x14ac:dyDescent="0.25">
      <c r="A101" s="28" t="s">
        <v>139</v>
      </c>
      <c r="B101" s="29"/>
      <c r="C101" s="10">
        <f>AVERAGE(logistics!B23:K23)</f>
        <v>7.5689950000000007E-4</v>
      </c>
      <c r="D101" s="11">
        <f>AVERAGE(logistics!B53:K53)</f>
        <v>5.7822949999999994E-4</v>
      </c>
      <c r="E101" s="16">
        <f t="shared" si="4"/>
        <v>0.3089949578843697</v>
      </c>
      <c r="F101" s="16">
        <f t="shared" si="5"/>
        <v>0.26764454970268808</v>
      </c>
      <c r="G101" s="4" t="s">
        <v>44</v>
      </c>
      <c r="H101" s="20">
        <v>1.1447685222440827</v>
      </c>
      <c r="I101" s="4" t="s">
        <v>44</v>
      </c>
      <c r="J101" s="20">
        <v>0.72804628648927372</v>
      </c>
    </row>
    <row r="102" spans="1:10" x14ac:dyDescent="0.25">
      <c r="A102" s="28" t="s">
        <v>140</v>
      </c>
      <c r="B102" s="29"/>
      <c r="C102" s="10">
        <f>AVERAGE(logistics!B24:K24)</f>
        <v>8.5094649999999995E-4</v>
      </c>
      <c r="D102" s="11">
        <f>AVERAGE(logistics!B54:K54)</f>
        <v>6.6336610000000001E-4</v>
      </c>
      <c r="E102" s="16">
        <f t="shared" si="4"/>
        <v>0.28277055460024253</v>
      </c>
      <c r="F102" s="16">
        <f t="shared" si="5"/>
        <v>0.24774329950104085</v>
      </c>
      <c r="G102" s="4" t="s">
        <v>61</v>
      </c>
      <c r="H102" s="20">
        <v>1.1809882468511557</v>
      </c>
      <c r="I102" s="4" t="s">
        <v>61</v>
      </c>
      <c r="J102" s="20">
        <v>0.74252914830490813</v>
      </c>
    </row>
    <row r="103" spans="1:10" x14ac:dyDescent="0.25">
      <c r="A103" s="28" t="s">
        <v>141</v>
      </c>
      <c r="B103" s="29"/>
      <c r="C103" s="10">
        <f>AVERAGE(logistics!B25:K25)</f>
        <v>6.6775120000000002E-4</v>
      </c>
      <c r="D103" s="11">
        <f>AVERAGE(logistics!B55:K55)</f>
        <v>5.149251000000001E-4</v>
      </c>
      <c r="E103" s="16">
        <f t="shared" si="4"/>
        <v>0.29679287337129207</v>
      </c>
      <c r="F103" s="16">
        <f t="shared" si="5"/>
        <v>0.25844113051052076</v>
      </c>
      <c r="G103" s="4" t="s">
        <v>145</v>
      </c>
      <c r="H103" s="20">
        <v>1.3195004740788352</v>
      </c>
      <c r="I103" s="4" t="s">
        <v>145</v>
      </c>
      <c r="J103" s="20">
        <v>0.79499941896830006</v>
      </c>
    </row>
    <row r="104" spans="1:10" x14ac:dyDescent="0.25">
      <c r="A104" s="28" t="s">
        <v>142</v>
      </c>
      <c r="B104" s="29"/>
      <c r="C104" s="10">
        <f>AVERAGE(logistics!B26:K26)</f>
        <v>7.0465129999999993E-4</v>
      </c>
      <c r="D104" s="11">
        <f>AVERAGE(logistics!B56:K56)</f>
        <v>5.4972609999999998E-4</v>
      </c>
      <c r="E104" s="16">
        <f t="shared" si="4"/>
        <v>0.28182252943784175</v>
      </c>
      <c r="F104" s="16">
        <f t="shared" si="5"/>
        <v>0.24701529220791121</v>
      </c>
      <c r="G104" s="4" t="s">
        <v>43</v>
      </c>
      <c r="H104" s="20">
        <v>2.4329834334147753</v>
      </c>
      <c r="I104" s="4" t="s">
        <v>43</v>
      </c>
      <c r="J104" s="20">
        <v>1.0976731449414063</v>
      </c>
    </row>
    <row r="105" spans="1:10" x14ac:dyDescent="0.25">
      <c r="A105" s="28" t="s">
        <v>143</v>
      </c>
      <c r="B105" s="29"/>
      <c r="C105" s="10">
        <f>AVERAGE(logistics!B27:K27)</f>
        <v>8.5771059999999991E-4</v>
      </c>
      <c r="D105" s="11">
        <f>AVERAGE(logistics!B57:K57)</f>
        <v>6.4106730000000004E-4</v>
      </c>
      <c r="E105" s="16">
        <f t="shared" si="4"/>
        <v>0.3379415858522184</v>
      </c>
      <c r="F105" s="16">
        <f t="shared" si="5"/>
        <v>0.28909326725460771</v>
      </c>
      <c r="G105" s="4" t="s">
        <v>91</v>
      </c>
      <c r="H105" s="20">
        <v>2.6674242740097114</v>
      </c>
      <c r="I105" s="4" t="s">
        <v>91</v>
      </c>
      <c r="J105" s="20">
        <v>1.1429962726393281</v>
      </c>
    </row>
    <row r="106" spans="1:10" x14ac:dyDescent="0.25">
      <c r="A106" s="28" t="s">
        <v>144</v>
      </c>
      <c r="B106" s="29"/>
      <c r="C106" s="10">
        <f>AVERAGE(logistics!B28:K28)</f>
        <v>9.2964539999999991E-4</v>
      </c>
      <c r="D106" s="11">
        <f>AVERAGE(logistics!B58:K58)</f>
        <v>6.9527480000000001E-4</v>
      </c>
      <c r="E106" s="16">
        <f t="shared" si="4"/>
        <v>0.3370906007236274</v>
      </c>
      <c r="F106" s="16">
        <f t="shared" si="5"/>
        <v>0.28847028918712431</v>
      </c>
      <c r="G106" s="4" t="s">
        <v>42</v>
      </c>
      <c r="H106" s="20">
        <v>2.9693411124521312</v>
      </c>
      <c r="I106" s="4" t="s">
        <v>42</v>
      </c>
      <c r="J106" s="20">
        <v>1.1950643134606245</v>
      </c>
    </row>
    <row r="107" spans="1:10" x14ac:dyDescent="0.25">
      <c r="A107" s="30" t="s">
        <v>145</v>
      </c>
      <c r="B107" s="31"/>
      <c r="C107" s="12">
        <f>AVERAGE(logistics!B29:K29)</f>
        <v>1.4810043000000001E-3</v>
      </c>
      <c r="D107" s="13">
        <f>AVERAGE(logistics!B59:K59)</f>
        <v>6.3850140000000001E-4</v>
      </c>
      <c r="E107" s="17">
        <f t="shared" si="4"/>
        <v>1.3195004740788352</v>
      </c>
      <c r="F107" s="17">
        <f t="shared" si="5"/>
        <v>0.79499941896830006</v>
      </c>
      <c r="G107" s="1" t="s">
        <v>41</v>
      </c>
      <c r="H107" s="21">
        <v>3.0852837120189718</v>
      </c>
      <c r="I107" s="1" t="s">
        <v>41</v>
      </c>
      <c r="J107" s="21">
        <v>1.213416551264175</v>
      </c>
    </row>
  </sheetData>
  <sortState ref="G3:H107">
    <sortCondition ref="H3:H107"/>
  </sortState>
  <mergeCells count="111">
    <mergeCell ref="G1:H2"/>
    <mergeCell ref="E1:E2"/>
    <mergeCell ref="A7:B7"/>
    <mergeCell ref="A8:B8"/>
    <mergeCell ref="A9:B9"/>
    <mergeCell ref="A10:B10"/>
    <mergeCell ref="A11:B11"/>
    <mergeCell ref="A12:B12"/>
    <mergeCell ref="A1:B2"/>
    <mergeCell ref="C1:D1"/>
    <mergeCell ref="A3:B3"/>
    <mergeCell ref="A4:B4"/>
    <mergeCell ref="A5:B5"/>
    <mergeCell ref="A6:B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49:B49"/>
    <mergeCell ref="A50:B50"/>
    <mergeCell ref="A51:B51"/>
    <mergeCell ref="A52:B52"/>
    <mergeCell ref="A53:B53"/>
    <mergeCell ref="A54:B54"/>
    <mergeCell ref="A60:B60"/>
    <mergeCell ref="A62:B62"/>
    <mergeCell ref="A63:B63"/>
    <mergeCell ref="A64:B64"/>
    <mergeCell ref="A65:B65"/>
    <mergeCell ref="A66:B66"/>
    <mergeCell ref="A68:B68"/>
    <mergeCell ref="A69:B69"/>
    <mergeCell ref="A70:B70"/>
    <mergeCell ref="A67:B67"/>
    <mergeCell ref="A61:B61"/>
    <mergeCell ref="A90:B90"/>
    <mergeCell ref="A78:B78"/>
    <mergeCell ref="A80:B80"/>
    <mergeCell ref="A81:B81"/>
    <mergeCell ref="A82:B82"/>
    <mergeCell ref="A83:B83"/>
    <mergeCell ref="A84:B84"/>
    <mergeCell ref="A71:B71"/>
    <mergeCell ref="A72:B72"/>
    <mergeCell ref="A74:B74"/>
    <mergeCell ref="A75:B75"/>
    <mergeCell ref="A76:B76"/>
    <mergeCell ref="A77:B77"/>
    <mergeCell ref="A79:B79"/>
    <mergeCell ref="A73:B73"/>
    <mergeCell ref="F1:F2"/>
    <mergeCell ref="I1:J2"/>
    <mergeCell ref="A103:B103"/>
    <mergeCell ref="A104:B104"/>
    <mergeCell ref="A105:B105"/>
    <mergeCell ref="A106:B106"/>
    <mergeCell ref="A107:B107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11" workbookViewId="0">
      <selection activeCell="A2" sqref="A2:A36"/>
    </sheetView>
  </sheetViews>
  <sheetFormatPr defaultRowHeight="15" x14ac:dyDescent="0.25"/>
  <cols>
    <col min="1" max="1" width="8.5703125" bestFit="1" customWidth="1"/>
    <col min="2" max="11" width="12" bestFit="1" customWidth="1"/>
  </cols>
  <sheetData>
    <row r="1" spans="1:11" x14ac:dyDescent="0.25">
      <c r="A1" t="s">
        <v>4</v>
      </c>
    </row>
    <row r="2" spans="1:11" x14ac:dyDescent="0.25">
      <c r="A2" t="s">
        <v>5</v>
      </c>
      <c r="B2">
        <v>8.2563876999999994E-2</v>
      </c>
      <c r="C2">
        <v>2.7341679999999999E-3</v>
      </c>
      <c r="D2">
        <v>2.3591010000000002E-3</v>
      </c>
      <c r="E2">
        <v>1.9509110000000001E-3</v>
      </c>
      <c r="F2">
        <v>1.770375E-3</v>
      </c>
      <c r="G2">
        <v>1.5137989999999999E-3</v>
      </c>
      <c r="H2">
        <v>1.6052340000000001E-3</v>
      </c>
      <c r="I2">
        <v>2.156172E-3</v>
      </c>
      <c r="J2">
        <v>1.043099E-3</v>
      </c>
      <c r="K2" s="3">
        <v>9.8525299999999995E-4</v>
      </c>
    </row>
    <row r="3" spans="1:11" x14ac:dyDescent="0.25">
      <c r="A3" t="s">
        <v>6</v>
      </c>
      <c r="B3">
        <v>1.4177E-3</v>
      </c>
      <c r="C3">
        <v>1.174652E-3</v>
      </c>
      <c r="D3">
        <v>1.5203300000000001E-3</v>
      </c>
      <c r="E3">
        <v>1.157391E-3</v>
      </c>
      <c r="F3">
        <v>1.0081109999999999E-3</v>
      </c>
      <c r="G3">
        <v>1.0864830000000001E-3</v>
      </c>
      <c r="H3" s="3">
        <v>7.6926200000000005E-4</v>
      </c>
      <c r="I3" s="3">
        <v>7.4966900000000001E-4</v>
      </c>
      <c r="J3" s="3">
        <v>7.4920200000000003E-4</v>
      </c>
      <c r="K3" s="3">
        <v>6.3490900000000002E-4</v>
      </c>
    </row>
    <row r="4" spans="1:11" x14ac:dyDescent="0.25">
      <c r="A4" t="s">
        <v>7</v>
      </c>
      <c r="B4" s="3">
        <v>6.7036299999999999E-4</v>
      </c>
      <c r="C4" s="3">
        <v>5.4720699999999997E-4</v>
      </c>
      <c r="D4" s="3">
        <v>4.96825E-4</v>
      </c>
      <c r="E4" s="3">
        <v>4.4271000000000002E-4</v>
      </c>
      <c r="F4" s="3">
        <v>4.0492399999999997E-4</v>
      </c>
      <c r="G4" s="3">
        <v>4.39445E-4</v>
      </c>
      <c r="H4" s="3">
        <v>3.5407499999999997E-4</v>
      </c>
      <c r="I4" s="3">
        <v>4.1378699999999999E-4</v>
      </c>
      <c r="J4" s="3">
        <v>3.4567799999999998E-4</v>
      </c>
      <c r="K4" s="3">
        <v>3.4194599999999998E-4</v>
      </c>
    </row>
    <row r="5" spans="1:11" x14ac:dyDescent="0.25">
      <c r="A5" t="s">
        <v>8</v>
      </c>
      <c r="B5" s="3">
        <v>6.5963399999999998E-4</v>
      </c>
      <c r="C5" s="3">
        <v>4.9962400000000005E-4</v>
      </c>
      <c r="D5" s="3">
        <v>7.8092500000000002E-4</v>
      </c>
      <c r="E5" s="3">
        <v>4.1518700000000002E-4</v>
      </c>
      <c r="F5" s="3">
        <v>3.41947E-4</v>
      </c>
      <c r="G5" s="3">
        <v>3.3914699999999998E-4</v>
      </c>
      <c r="H5" s="3">
        <v>3.7926600000000001E-4</v>
      </c>
      <c r="I5" s="3">
        <v>3.9092899999999998E-4</v>
      </c>
      <c r="J5" s="3">
        <v>5.43009E-4</v>
      </c>
      <c r="K5" s="3">
        <v>2.8783200000000002E-4</v>
      </c>
    </row>
    <row r="6" spans="1:11" x14ac:dyDescent="0.25">
      <c r="A6" t="s">
        <v>9</v>
      </c>
      <c r="B6" s="3">
        <v>3.2748400000000001E-4</v>
      </c>
      <c r="C6" s="3">
        <v>2.4164799999999999E-4</v>
      </c>
      <c r="D6" s="3">
        <v>2.29519E-4</v>
      </c>
      <c r="E6" s="3">
        <v>2.18789E-4</v>
      </c>
      <c r="F6" s="3">
        <v>2.1272500000000001E-4</v>
      </c>
      <c r="G6" s="3">
        <v>2.2345500000000001E-4</v>
      </c>
      <c r="H6" s="3">
        <v>2.67772E-4</v>
      </c>
      <c r="I6" s="3">
        <v>2.7383699999999997E-4</v>
      </c>
      <c r="J6" s="3">
        <v>2.5144399999999997E-4</v>
      </c>
      <c r="K6" s="3">
        <v>2.4957899999999999E-4</v>
      </c>
    </row>
    <row r="7" spans="1:11" x14ac:dyDescent="0.25">
      <c r="A7" t="s">
        <v>10</v>
      </c>
      <c r="B7" s="3">
        <v>4.7303299999999998E-4</v>
      </c>
      <c r="C7" s="3">
        <v>2.7476900000000001E-4</v>
      </c>
      <c r="D7" s="3">
        <v>2.63107E-4</v>
      </c>
      <c r="E7" s="3">
        <v>2.6077499999999998E-4</v>
      </c>
      <c r="F7" s="3">
        <v>2.5471000000000001E-4</v>
      </c>
      <c r="G7" s="3">
        <v>2.6823899999999998E-4</v>
      </c>
      <c r="H7" s="3">
        <v>2.8736499999999998E-4</v>
      </c>
      <c r="I7" s="3">
        <v>3.6247299999999998E-4</v>
      </c>
      <c r="J7" s="3">
        <v>3.0602500000000003E-4</v>
      </c>
      <c r="K7" s="3">
        <v>2.8689900000000002E-4</v>
      </c>
    </row>
    <row r="8" spans="1:11" x14ac:dyDescent="0.25">
      <c r="A8" t="s">
        <v>11</v>
      </c>
      <c r="B8" s="3">
        <v>3.3634799999999999E-4</v>
      </c>
      <c r="C8" s="3">
        <v>2.2998499999999999E-4</v>
      </c>
      <c r="D8" s="3">
        <v>2.1272500000000001E-4</v>
      </c>
      <c r="E8" s="3">
        <v>2.15057E-4</v>
      </c>
      <c r="F8" s="3">
        <v>2.0806000000000001E-4</v>
      </c>
      <c r="G8" s="3">
        <v>2.2252200000000001E-4</v>
      </c>
      <c r="H8" s="3">
        <v>2.5284400000000001E-4</v>
      </c>
      <c r="I8" s="3">
        <v>2.34651E-4</v>
      </c>
      <c r="J8" s="3">
        <v>2.29519E-4</v>
      </c>
      <c r="K8" s="3">
        <v>2.3278400000000001E-4</v>
      </c>
    </row>
    <row r="9" spans="1:11" x14ac:dyDescent="0.25">
      <c r="A9" t="s">
        <v>12</v>
      </c>
      <c r="B9" s="3">
        <v>2.90165E-4</v>
      </c>
      <c r="C9" s="3">
        <v>2.7243699999999999E-4</v>
      </c>
      <c r="D9" s="3">
        <v>2.0246199999999999E-4</v>
      </c>
      <c r="E9" s="3">
        <v>2.61241E-4</v>
      </c>
      <c r="F9" s="3">
        <v>2.27653E-4</v>
      </c>
      <c r="G9" s="3">
        <v>1.9733000000000001E-4</v>
      </c>
      <c r="H9" s="3">
        <v>2.12258E-4</v>
      </c>
      <c r="I9" s="3">
        <v>2.16457E-4</v>
      </c>
      <c r="J9" s="3">
        <v>1.7353900000000001E-4</v>
      </c>
      <c r="K9" s="3">
        <v>1.8986599999999999E-4</v>
      </c>
    </row>
    <row r="10" spans="1:11" x14ac:dyDescent="0.25">
      <c r="A10" t="s">
        <v>13</v>
      </c>
      <c r="B10" s="3">
        <v>3.9372799999999998E-4</v>
      </c>
      <c r="C10" s="3">
        <v>3.2095300000000002E-4</v>
      </c>
      <c r="D10" s="3">
        <v>3.1255699999999998E-4</v>
      </c>
      <c r="E10" s="3">
        <v>3.5874000000000002E-4</v>
      </c>
      <c r="F10" s="3">
        <v>3.7786699999999999E-4</v>
      </c>
      <c r="G10" s="3">
        <v>3.4474499999999998E-4</v>
      </c>
      <c r="H10" s="3">
        <v>3.2841700000000001E-4</v>
      </c>
      <c r="I10" s="3">
        <v>3.0789199999999999E-4</v>
      </c>
      <c r="J10" s="3">
        <v>3.2935100000000003E-4</v>
      </c>
      <c r="K10" s="3">
        <v>3.7366800000000001E-4</v>
      </c>
    </row>
    <row r="11" spans="1:11" x14ac:dyDescent="0.25">
      <c r="A11" t="s">
        <v>14</v>
      </c>
      <c r="B11" s="3">
        <v>3.13023E-4</v>
      </c>
      <c r="C11" s="3">
        <v>3.0369300000000001E-4</v>
      </c>
      <c r="D11" s="3">
        <v>3.1535500000000002E-4</v>
      </c>
      <c r="E11" s="3">
        <v>2.9949499999999999E-4</v>
      </c>
      <c r="F11" s="3">
        <v>3.7366800000000001E-4</v>
      </c>
      <c r="G11" s="3">
        <v>3.2515199999999999E-4</v>
      </c>
      <c r="H11" s="3">
        <v>2.7290300000000001E-4</v>
      </c>
      <c r="I11" s="3">
        <v>2.9529600000000001E-4</v>
      </c>
      <c r="J11" s="3">
        <v>2.5144499999999999E-4</v>
      </c>
      <c r="K11" s="3">
        <v>2.9809500000000001E-4</v>
      </c>
    </row>
    <row r="12" spans="1:11" x14ac:dyDescent="0.25">
      <c r="A12" t="s">
        <v>15</v>
      </c>
      <c r="B12" s="3">
        <v>4.4550900000000002E-4</v>
      </c>
      <c r="C12" s="3">
        <v>3.4847699999999998E-4</v>
      </c>
      <c r="D12" s="3">
        <v>3.2328599999999999E-4</v>
      </c>
      <c r="E12" s="3">
        <v>3.1722100000000002E-4</v>
      </c>
      <c r="F12" s="3">
        <v>3.3354899999999999E-4</v>
      </c>
      <c r="G12" s="3">
        <v>2.79902E-4</v>
      </c>
      <c r="H12" s="3">
        <v>2.8596600000000002E-4</v>
      </c>
      <c r="I12" s="3">
        <v>2.59375E-4</v>
      </c>
      <c r="J12" s="3">
        <v>3.2608499999999999E-4</v>
      </c>
      <c r="K12" s="3">
        <v>3.22353E-4</v>
      </c>
    </row>
    <row r="13" spans="1:11" x14ac:dyDescent="0.25">
      <c r="A13" t="s">
        <v>16</v>
      </c>
      <c r="B13" s="3">
        <v>7.5619999999999995E-4</v>
      </c>
      <c r="C13" s="3">
        <v>3.9092899999999998E-4</v>
      </c>
      <c r="D13" s="3">
        <v>3.4101299999999998E-4</v>
      </c>
      <c r="E13" s="3">
        <v>3.0369300000000001E-4</v>
      </c>
      <c r="F13" s="3">
        <v>2.8316700000000002E-4</v>
      </c>
      <c r="G13" s="3">
        <v>2.7010499999999998E-4</v>
      </c>
      <c r="H13" s="3">
        <v>2.9296299999999998E-4</v>
      </c>
      <c r="I13" s="3">
        <v>3.1908700000000002E-4</v>
      </c>
      <c r="J13" s="3">
        <v>3.3541499999999999E-4</v>
      </c>
      <c r="K13" s="3">
        <v>3.5220899999999997E-4</v>
      </c>
    </row>
    <row r="14" spans="1:11" x14ac:dyDescent="0.25">
      <c r="A14" t="s">
        <v>17</v>
      </c>
      <c r="B14" s="3">
        <v>4.43177E-4</v>
      </c>
      <c r="C14" s="3">
        <v>3.9092899999999998E-4</v>
      </c>
      <c r="D14" s="3">
        <v>2.8969800000000002E-4</v>
      </c>
      <c r="E14" s="3">
        <v>3.3634799999999999E-4</v>
      </c>
      <c r="F14" s="3">
        <v>3.4940999999999998E-4</v>
      </c>
      <c r="G14" s="3">
        <v>2.5331099999999999E-4</v>
      </c>
      <c r="H14" s="3">
        <v>2.9436300000000001E-4</v>
      </c>
      <c r="I14" s="3">
        <v>3.1535500000000002E-4</v>
      </c>
      <c r="J14" s="3">
        <v>3.1628899999999998E-4</v>
      </c>
      <c r="K14" s="3">
        <v>2.6357300000000002E-4</v>
      </c>
    </row>
    <row r="15" spans="1:11" x14ac:dyDescent="0.25">
      <c r="A15" t="s">
        <v>18</v>
      </c>
      <c r="B15" s="3">
        <v>4.8329599999999998E-4</v>
      </c>
      <c r="C15" s="3">
        <v>3.6013899999999999E-4</v>
      </c>
      <c r="D15" s="3">
        <v>3.1722100000000002E-4</v>
      </c>
      <c r="E15" s="3">
        <v>3.09291E-4</v>
      </c>
      <c r="F15" s="3">
        <v>3.18621E-4</v>
      </c>
      <c r="G15" s="3">
        <v>2.8456599999999999E-4</v>
      </c>
      <c r="H15" s="3">
        <v>2.7617000000000001E-4</v>
      </c>
      <c r="I15" s="3">
        <v>2.88764E-4</v>
      </c>
      <c r="J15" s="3">
        <v>3.6480399999999999E-4</v>
      </c>
      <c r="K15" s="3">
        <v>3.20487E-4</v>
      </c>
    </row>
    <row r="16" spans="1:11" x14ac:dyDescent="0.25">
      <c r="A16" t="s">
        <v>19</v>
      </c>
      <c r="B16" s="3">
        <v>2.3698400000000001E-4</v>
      </c>
      <c r="C16" s="3">
        <v>1.8706800000000001E-4</v>
      </c>
      <c r="D16" s="3">
        <v>1.95465E-4</v>
      </c>
      <c r="E16" s="3">
        <v>1.9919600000000001E-4</v>
      </c>
      <c r="F16" s="3">
        <v>2.57509E-4</v>
      </c>
      <c r="G16" s="3">
        <v>2.3604999999999999E-4</v>
      </c>
      <c r="H16" s="3">
        <v>2.5704200000000002E-4</v>
      </c>
      <c r="I16" s="3">
        <v>2.20189E-4</v>
      </c>
      <c r="J16" s="3">
        <v>2.20189E-4</v>
      </c>
      <c r="K16" s="3">
        <v>2.6404E-4</v>
      </c>
    </row>
    <row r="17" spans="1:11" x14ac:dyDescent="0.25">
      <c r="A17" t="s">
        <v>20</v>
      </c>
      <c r="B17" s="3">
        <v>4.6417000000000002E-4</v>
      </c>
      <c r="C17" s="3">
        <v>3.4847699999999998E-4</v>
      </c>
      <c r="D17" s="3">
        <v>3.40546E-4</v>
      </c>
      <c r="E17" s="3">
        <v>3.3914699999999998E-4</v>
      </c>
      <c r="F17" s="3">
        <v>3.3354899999999999E-4</v>
      </c>
      <c r="G17" s="3">
        <v>3.9839299999999998E-4</v>
      </c>
      <c r="H17" s="3">
        <v>3.8346499999999999E-4</v>
      </c>
      <c r="I17" s="3">
        <v>3.4427900000000002E-4</v>
      </c>
      <c r="J17" s="3">
        <v>3.3074999999999999E-4</v>
      </c>
      <c r="K17" s="3">
        <v>3.2748400000000001E-4</v>
      </c>
    </row>
    <row r="18" spans="1:11" x14ac:dyDescent="0.25">
      <c r="A18" t="s">
        <v>21</v>
      </c>
      <c r="B18" s="3">
        <v>4.4550900000000002E-4</v>
      </c>
      <c r="C18" s="3">
        <v>3.3774800000000002E-4</v>
      </c>
      <c r="D18" s="3">
        <v>3.3541499999999999E-4</v>
      </c>
      <c r="E18" s="3">
        <v>3.4847699999999998E-4</v>
      </c>
      <c r="F18" s="3">
        <v>3.3821399999999998E-4</v>
      </c>
      <c r="G18" s="3">
        <v>3.41479E-4</v>
      </c>
      <c r="H18" s="3">
        <v>3.8299800000000001E-4</v>
      </c>
      <c r="I18" s="3">
        <v>4.48775E-4</v>
      </c>
      <c r="J18" s="3">
        <v>4.68834E-4</v>
      </c>
      <c r="K18" s="3">
        <v>4.0679000000000003E-4</v>
      </c>
    </row>
    <row r="19" spans="1:11" x14ac:dyDescent="0.25">
      <c r="A19" t="s">
        <v>22</v>
      </c>
      <c r="B19" s="3">
        <v>3.14889E-4</v>
      </c>
      <c r="C19" s="3">
        <v>2.60308E-4</v>
      </c>
      <c r="D19" s="3">
        <v>2.5984199999999998E-4</v>
      </c>
      <c r="E19" s="3">
        <v>2.85032E-4</v>
      </c>
      <c r="F19" s="3">
        <v>3.0649099999999999E-4</v>
      </c>
      <c r="G19" s="3">
        <v>2.8643199999999998E-4</v>
      </c>
      <c r="H19" s="3">
        <v>3.2795099999999999E-4</v>
      </c>
      <c r="I19" s="3">
        <v>2.7850200000000002E-4</v>
      </c>
      <c r="J19" s="3">
        <v>3.3168299999999999E-4</v>
      </c>
      <c r="K19" s="3">
        <v>2.8410000000000002E-4</v>
      </c>
    </row>
    <row r="20" spans="1:11" x14ac:dyDescent="0.25">
      <c r="A20" t="s">
        <v>23</v>
      </c>
      <c r="B20" s="3">
        <v>6.3677600000000003E-4</v>
      </c>
      <c r="C20" s="3">
        <v>4.5810499999999999E-4</v>
      </c>
      <c r="D20" s="3">
        <v>4.3664600000000001E-4</v>
      </c>
      <c r="E20" s="3">
        <v>4.1752E-4</v>
      </c>
      <c r="F20" s="3">
        <v>4.4084499999999998E-4</v>
      </c>
      <c r="G20" s="3">
        <v>4.4830800000000002E-4</v>
      </c>
      <c r="H20" s="3">
        <v>4.22185E-4</v>
      </c>
      <c r="I20" s="3">
        <v>4.1565299999999999E-4</v>
      </c>
      <c r="J20" s="3">
        <v>4.1612000000000002E-4</v>
      </c>
      <c r="K20" s="3">
        <v>4.1425300000000001E-4</v>
      </c>
    </row>
    <row r="21" spans="1:11" x14ac:dyDescent="0.25">
      <c r="A21" t="s">
        <v>24</v>
      </c>
      <c r="B21" s="3">
        <v>5.5840299999999996E-4</v>
      </c>
      <c r="C21" s="3">
        <v>4.6743499999999999E-4</v>
      </c>
      <c r="D21" s="3">
        <v>4.3384700000000001E-4</v>
      </c>
      <c r="E21" s="3">
        <v>4.0725599999999999E-4</v>
      </c>
      <c r="F21" s="3">
        <v>4.1425300000000001E-4</v>
      </c>
      <c r="G21" s="3">
        <v>3.7273500000000002E-4</v>
      </c>
      <c r="H21" s="3">
        <v>3.5594199999999999E-4</v>
      </c>
      <c r="I21" s="3">
        <v>3.73202E-4</v>
      </c>
      <c r="J21" s="3">
        <v>3.9139600000000002E-4</v>
      </c>
      <c r="K21" s="3">
        <v>4.1518700000000002E-4</v>
      </c>
    </row>
    <row r="22" spans="1:11" x14ac:dyDescent="0.25">
      <c r="A22" t="s">
        <v>25</v>
      </c>
      <c r="B22">
        <v>2.7710230000000001E-3</v>
      </c>
      <c r="C22" s="3">
        <v>3.3354899999999999E-4</v>
      </c>
      <c r="D22" s="3">
        <v>3.0369300000000001E-4</v>
      </c>
      <c r="E22" s="3">
        <v>3.5407499999999997E-4</v>
      </c>
      <c r="F22" s="3">
        <v>3.5220899999999997E-4</v>
      </c>
      <c r="G22" s="3">
        <v>3.7366800000000001E-4</v>
      </c>
      <c r="H22" s="3">
        <v>3.3074999999999999E-4</v>
      </c>
      <c r="I22" s="3">
        <v>3.1442299999999998E-4</v>
      </c>
      <c r="J22" s="3">
        <v>3.08358E-4</v>
      </c>
      <c r="K22" s="3">
        <v>3.4847699999999998E-4</v>
      </c>
    </row>
    <row r="23" spans="1:11" x14ac:dyDescent="0.25">
      <c r="A23" t="s">
        <v>26</v>
      </c>
      <c r="B23" s="3">
        <v>3.1535599999999998E-4</v>
      </c>
      <c r="C23" s="3">
        <v>2.7756800000000001E-4</v>
      </c>
      <c r="D23" s="3">
        <v>2.7803499999999999E-4</v>
      </c>
      <c r="E23" s="3">
        <v>2.5797599999999998E-4</v>
      </c>
      <c r="F23" s="3">
        <v>2.84567E-4</v>
      </c>
      <c r="G23" s="3">
        <v>4.3337999999999997E-4</v>
      </c>
      <c r="H23" s="3">
        <v>2.8363299999999999E-4</v>
      </c>
      <c r="I23" s="3">
        <v>2.56576E-4</v>
      </c>
      <c r="J23" s="3">
        <v>2.56576E-4</v>
      </c>
      <c r="K23" s="3">
        <v>2.5657700000000002E-4</v>
      </c>
    </row>
    <row r="24" spans="1:11" x14ac:dyDescent="0.25">
      <c r="A24" t="s">
        <v>27</v>
      </c>
      <c r="B24" s="3">
        <v>3.9979300000000001E-4</v>
      </c>
      <c r="C24" s="3">
        <v>3.7366800000000001E-4</v>
      </c>
      <c r="D24" s="3">
        <v>3.7273599999999998E-4</v>
      </c>
      <c r="E24" s="3">
        <v>3.48943E-4</v>
      </c>
      <c r="F24" s="3">
        <v>3.4847699999999998E-4</v>
      </c>
      <c r="G24" s="3">
        <v>3.7926600000000001E-4</v>
      </c>
      <c r="H24" s="3">
        <v>4.0632400000000001E-4</v>
      </c>
      <c r="I24" s="3">
        <v>4.20319E-4</v>
      </c>
      <c r="J24" s="3">
        <v>4.1145500000000002E-4</v>
      </c>
      <c r="K24" s="3">
        <v>4.0212499999999998E-4</v>
      </c>
    </row>
    <row r="25" spans="1:11" x14ac:dyDescent="0.25">
      <c r="A25" t="s">
        <v>28</v>
      </c>
      <c r="B25" s="3">
        <v>4.3897899999999999E-4</v>
      </c>
      <c r="C25" s="3">
        <v>3.3448199999999999E-4</v>
      </c>
      <c r="D25" s="3">
        <v>3.3121600000000001E-4</v>
      </c>
      <c r="E25" s="3">
        <v>3.4427900000000002E-4</v>
      </c>
      <c r="F25" s="3">
        <v>3.3074999999999999E-4</v>
      </c>
      <c r="G25" s="3">
        <v>3.4007999999999998E-4</v>
      </c>
      <c r="H25" s="3">
        <v>3.4847699999999998E-4</v>
      </c>
      <c r="I25" s="3">
        <v>3.7833300000000001E-4</v>
      </c>
      <c r="J25" s="3">
        <v>3.5640699999999999E-4</v>
      </c>
      <c r="K25" s="3">
        <v>3.49876E-4</v>
      </c>
    </row>
    <row r="26" spans="1:11" x14ac:dyDescent="0.25">
      <c r="A26" t="s">
        <v>29</v>
      </c>
      <c r="B26" s="3">
        <v>3.5827299999999999E-4</v>
      </c>
      <c r="C26" s="3">
        <v>3.3494900000000002E-4</v>
      </c>
      <c r="D26" s="3">
        <v>3.2935000000000001E-4</v>
      </c>
      <c r="E26" s="3">
        <v>3.0695800000000002E-4</v>
      </c>
      <c r="F26" s="3">
        <v>3.11157E-4</v>
      </c>
      <c r="G26" s="3">
        <v>3.0555900000000001E-4</v>
      </c>
      <c r="H26" s="3">
        <v>3.0975799999999998E-4</v>
      </c>
      <c r="I26" s="3">
        <v>3.1162300000000002E-4</v>
      </c>
      <c r="J26" s="3">
        <v>4.0819000000000001E-4</v>
      </c>
      <c r="K26" s="3">
        <v>3.3588100000000001E-4</v>
      </c>
    </row>
    <row r="27" spans="1:11" x14ac:dyDescent="0.25">
      <c r="A27" t="s">
        <v>30</v>
      </c>
      <c r="B27" s="3">
        <v>3.2188600000000001E-4</v>
      </c>
      <c r="C27" s="3">
        <v>3.0742500000000001E-4</v>
      </c>
      <c r="D27" s="3">
        <v>2.9996100000000001E-4</v>
      </c>
      <c r="E27" s="3">
        <v>2.8643199999999998E-4</v>
      </c>
      <c r="F27" s="3">
        <v>2.9482899999999998E-4</v>
      </c>
      <c r="G27" s="3">
        <v>3.0042799999999999E-4</v>
      </c>
      <c r="H27" s="3">
        <v>3.0975700000000002E-4</v>
      </c>
      <c r="I27" s="3">
        <v>2.85965E-4</v>
      </c>
      <c r="J27" s="3">
        <v>2.8130000000000001E-4</v>
      </c>
      <c r="K27" s="3">
        <v>2.87831E-4</v>
      </c>
    </row>
    <row r="28" spans="1:11" x14ac:dyDescent="0.25">
      <c r="A28" t="s">
        <v>31</v>
      </c>
      <c r="B28" s="3">
        <v>9.1294499999999997E-4</v>
      </c>
      <c r="C28" s="3">
        <v>8.5136700000000001E-4</v>
      </c>
      <c r="D28" s="3">
        <v>7.4733600000000003E-4</v>
      </c>
      <c r="E28" s="3">
        <v>5.2668099999999998E-4</v>
      </c>
      <c r="F28" s="3">
        <v>4.71168E-4</v>
      </c>
      <c r="G28" s="3">
        <v>4.91227E-4</v>
      </c>
      <c r="H28" s="3">
        <v>4.91227E-4</v>
      </c>
      <c r="I28" s="3">
        <v>4.7723200000000001E-4</v>
      </c>
      <c r="J28" s="3">
        <v>4.8329599999999998E-4</v>
      </c>
      <c r="K28" s="3">
        <v>4.9915799999999998E-4</v>
      </c>
    </row>
    <row r="29" spans="1:11" x14ac:dyDescent="0.25">
      <c r="A29" t="s">
        <v>32</v>
      </c>
      <c r="B29" s="3">
        <v>4.91227E-4</v>
      </c>
      <c r="C29" s="3">
        <v>4.1425400000000002E-4</v>
      </c>
      <c r="D29" s="3">
        <v>3.9792700000000001E-4</v>
      </c>
      <c r="E29" s="3">
        <v>3.91395E-4</v>
      </c>
      <c r="F29" s="3">
        <v>3.99792E-4</v>
      </c>
      <c r="G29" s="3">
        <v>3.8253199999999999E-4</v>
      </c>
      <c r="H29" s="3">
        <v>3.7973299999999999E-4</v>
      </c>
      <c r="I29" s="3">
        <v>3.8019900000000001E-4</v>
      </c>
      <c r="J29" s="3">
        <v>3.7693399999999999E-4</v>
      </c>
      <c r="K29" s="3">
        <v>3.8113200000000001E-4</v>
      </c>
    </row>
    <row r="30" spans="1:11" x14ac:dyDescent="0.25">
      <c r="A30" t="s">
        <v>33</v>
      </c>
      <c r="B30" s="3">
        <v>3.8346400000000003E-4</v>
      </c>
      <c r="C30" s="3">
        <v>3.8299900000000002E-4</v>
      </c>
      <c r="D30" s="3">
        <v>3.5733999999999999E-4</v>
      </c>
      <c r="E30" s="3">
        <v>3.3914699999999998E-4</v>
      </c>
      <c r="F30" s="3">
        <v>3.4614500000000001E-4</v>
      </c>
      <c r="G30" s="3">
        <v>3.5780700000000003E-4</v>
      </c>
      <c r="H30" s="3">
        <v>3.4148000000000002E-4</v>
      </c>
      <c r="I30" s="3">
        <v>3.4101299999999998E-4</v>
      </c>
      <c r="J30" s="3">
        <v>3.45211E-4</v>
      </c>
      <c r="K30" s="3">
        <v>3.40546E-4</v>
      </c>
    </row>
    <row r="31" spans="1:11" x14ac:dyDescent="0.25">
      <c r="A31" t="s">
        <v>34</v>
      </c>
      <c r="B31" s="3">
        <v>3.2888399999999999E-4</v>
      </c>
      <c r="C31" s="3">
        <v>3.0835699999999999E-4</v>
      </c>
      <c r="D31" s="3">
        <v>3.0229399999999999E-4</v>
      </c>
      <c r="E31" s="3">
        <v>3.0182700000000001E-4</v>
      </c>
      <c r="F31" s="3">
        <v>3.0135999999999997E-4</v>
      </c>
      <c r="G31" s="3">
        <v>3.0602500000000003E-4</v>
      </c>
      <c r="H31" s="3">
        <v>3.0369300000000001E-4</v>
      </c>
      <c r="I31" s="3">
        <v>3.0369300000000001E-4</v>
      </c>
      <c r="J31" s="3">
        <v>3.09291E-4</v>
      </c>
      <c r="K31" s="3">
        <v>3.0042799999999999E-4</v>
      </c>
    </row>
    <row r="32" spans="1:11" x14ac:dyDescent="0.25">
      <c r="A32" t="s">
        <v>35</v>
      </c>
      <c r="B32" s="3">
        <v>4.0212499999999998E-4</v>
      </c>
      <c r="C32" s="3">
        <v>3.5687400000000003E-4</v>
      </c>
      <c r="D32" s="3">
        <v>3.5920599999999999E-4</v>
      </c>
      <c r="E32" s="3">
        <v>3.5500799999999997E-4</v>
      </c>
      <c r="F32" s="3">
        <v>3.5967300000000002E-4</v>
      </c>
      <c r="G32" s="3">
        <v>3.5500799999999997E-4</v>
      </c>
      <c r="H32" s="3">
        <v>3.7273500000000002E-4</v>
      </c>
      <c r="I32" s="3">
        <v>3.6527100000000002E-4</v>
      </c>
      <c r="J32" s="3">
        <v>3.92328E-4</v>
      </c>
      <c r="K32" s="3">
        <v>3.8999599999999998E-4</v>
      </c>
    </row>
    <row r="33" spans="1:11" x14ac:dyDescent="0.25">
      <c r="A33" t="s">
        <v>36</v>
      </c>
      <c r="B33" s="3">
        <v>4.7396599999999998E-4</v>
      </c>
      <c r="C33" s="3">
        <v>4.3571300000000001E-4</v>
      </c>
      <c r="D33" s="3">
        <v>4.3198100000000001E-4</v>
      </c>
      <c r="E33" s="3">
        <v>4.0865600000000003E-4</v>
      </c>
      <c r="F33" s="3">
        <v>4.0539100000000001E-4</v>
      </c>
      <c r="G33" s="3">
        <v>4.10989E-4</v>
      </c>
      <c r="H33" s="3">
        <v>4.1098799999999999E-4</v>
      </c>
      <c r="I33" s="3">
        <v>4.0352399999999999E-4</v>
      </c>
      <c r="J33" s="3">
        <v>4.0445699999999999E-4</v>
      </c>
      <c r="K33" s="3">
        <v>4.0725599999999999E-4</v>
      </c>
    </row>
    <row r="34" spans="1:11" x14ac:dyDescent="0.25">
      <c r="A34" t="s">
        <v>37</v>
      </c>
      <c r="B34" s="3">
        <v>5.3834399999999995E-4</v>
      </c>
      <c r="C34" s="3">
        <v>5.0475599999999998E-4</v>
      </c>
      <c r="D34" s="3">
        <v>5.0708700000000003E-4</v>
      </c>
      <c r="E34" s="3">
        <v>4.96825E-4</v>
      </c>
      <c r="F34" s="3">
        <v>4.7070100000000002E-4</v>
      </c>
      <c r="G34" s="3">
        <v>4.6323700000000002E-4</v>
      </c>
      <c r="H34" s="3">
        <v>4.5390699999999998E-4</v>
      </c>
      <c r="I34" s="3">
        <v>4.5390699999999998E-4</v>
      </c>
      <c r="J34" s="3">
        <v>4.5670500000000001E-4</v>
      </c>
      <c r="K34">
        <v>2.394555E-3</v>
      </c>
    </row>
    <row r="35" spans="1:11" x14ac:dyDescent="0.25">
      <c r="A35" t="s">
        <v>38</v>
      </c>
      <c r="B35" s="3">
        <v>4.5110700000000002E-4</v>
      </c>
      <c r="C35" s="3">
        <v>4.1891900000000002E-4</v>
      </c>
      <c r="D35" s="3">
        <v>3.92328E-4</v>
      </c>
      <c r="E35" s="3">
        <v>3.95127E-4</v>
      </c>
      <c r="F35" s="3">
        <v>4.3058199999999999E-4</v>
      </c>
      <c r="G35" s="3">
        <v>4.2358400000000002E-4</v>
      </c>
      <c r="H35" s="3">
        <v>4.0165900000000001E-4</v>
      </c>
      <c r="I35" s="3">
        <v>3.9372799999999998E-4</v>
      </c>
      <c r="J35" s="3">
        <v>3.9092899999999998E-4</v>
      </c>
      <c r="K35" s="3">
        <v>3.95127E-4</v>
      </c>
    </row>
    <row r="36" spans="1:11" x14ac:dyDescent="0.25">
      <c r="A36" t="s">
        <v>39</v>
      </c>
      <c r="B36" s="3">
        <v>4.5017400000000002E-4</v>
      </c>
      <c r="C36" s="3">
        <v>4.2265100000000002E-4</v>
      </c>
      <c r="D36" s="3">
        <v>4.2078500000000002E-4</v>
      </c>
      <c r="E36" s="3">
        <v>3.94194E-4</v>
      </c>
      <c r="F36" s="3">
        <v>3.9092800000000002E-4</v>
      </c>
      <c r="G36" s="3">
        <v>3.9466099999999998E-4</v>
      </c>
      <c r="H36" s="3">
        <v>4.4364300000000002E-4</v>
      </c>
      <c r="I36" s="3">
        <v>4.2778299999999999E-4</v>
      </c>
      <c r="J36" s="3">
        <v>3.9092899999999998E-4</v>
      </c>
      <c r="K36" s="3">
        <v>3.91395E-4</v>
      </c>
    </row>
    <row r="38" spans="1:11" x14ac:dyDescent="0.25">
      <c r="A38" t="s">
        <v>40</v>
      </c>
    </row>
    <row r="39" spans="1:11" x14ac:dyDescent="0.25">
      <c r="A39" t="s">
        <v>5</v>
      </c>
      <c r="B39">
        <v>1.9888850999999999E-2</v>
      </c>
      <c r="C39" s="3">
        <v>7.7159500000000003E-4</v>
      </c>
      <c r="D39" s="3">
        <v>8.9661700000000005E-4</v>
      </c>
      <c r="E39" s="3">
        <v>9.2927199999999998E-4</v>
      </c>
      <c r="F39" s="3">
        <v>4.2404999999999998E-4</v>
      </c>
      <c r="G39" s="3">
        <v>2.7476999999999997E-4</v>
      </c>
      <c r="H39" s="3">
        <v>2.1692400000000001E-4</v>
      </c>
      <c r="I39" s="3">
        <v>3.2188600000000001E-4</v>
      </c>
      <c r="J39" s="3">
        <v>2.4677999999999999E-4</v>
      </c>
      <c r="K39" s="3">
        <v>1.84735E-4</v>
      </c>
    </row>
    <row r="40" spans="1:11" x14ac:dyDescent="0.25">
      <c r="A40" t="s">
        <v>6</v>
      </c>
      <c r="B40" s="3">
        <v>3.99792E-4</v>
      </c>
      <c r="C40" s="3">
        <v>2.0199500000000001E-4</v>
      </c>
      <c r="D40" s="3">
        <v>2.5471000000000001E-4</v>
      </c>
      <c r="E40" s="3">
        <v>2.6730599999999998E-4</v>
      </c>
      <c r="F40" s="3">
        <v>2.4677899999999998E-4</v>
      </c>
      <c r="G40" s="3">
        <v>2.4538000000000001E-4</v>
      </c>
      <c r="H40" s="3">
        <v>2.5984199999999998E-4</v>
      </c>
      <c r="I40" s="3">
        <v>2.5424399999999999E-4</v>
      </c>
      <c r="J40" s="3">
        <v>2.42115E-4</v>
      </c>
      <c r="K40" s="3">
        <v>2.1459100000000001E-4</v>
      </c>
    </row>
    <row r="41" spans="1:11" x14ac:dyDescent="0.25">
      <c r="A41" t="s">
        <v>7</v>
      </c>
      <c r="B41" s="3">
        <v>1.4881399999999999E-4</v>
      </c>
      <c r="C41" s="3">
        <v>1.3248700000000001E-4</v>
      </c>
      <c r="D41" s="3">
        <v>1.2782099999999999E-4</v>
      </c>
      <c r="E41" s="3">
        <v>1.2595600000000001E-4</v>
      </c>
      <c r="F41" s="3">
        <v>1.26422E-4</v>
      </c>
      <c r="G41" s="3">
        <v>1.21758E-4</v>
      </c>
      <c r="H41" s="3">
        <v>1.39018E-4</v>
      </c>
      <c r="I41" s="3">
        <v>1.2968699999999999E-4</v>
      </c>
      <c r="J41" s="3">
        <v>1.24089E-4</v>
      </c>
      <c r="K41" s="3">
        <v>1.2222399999999999E-4</v>
      </c>
    </row>
    <row r="42" spans="1:11" x14ac:dyDescent="0.25">
      <c r="A42" t="s">
        <v>8</v>
      </c>
      <c r="B42" s="3">
        <v>2.9902800000000001E-4</v>
      </c>
      <c r="C42" s="3">
        <v>2.0199500000000001E-4</v>
      </c>
      <c r="D42" s="3">
        <v>1.9919600000000001E-4</v>
      </c>
      <c r="E42" s="3">
        <v>1.8240199999999999E-4</v>
      </c>
      <c r="F42" s="3">
        <v>1.7867E-4</v>
      </c>
      <c r="G42" s="3">
        <v>1.8706800000000001E-4</v>
      </c>
      <c r="H42" s="3">
        <v>2.7710199999999999E-4</v>
      </c>
      <c r="I42" s="3">
        <v>2.7430400000000001E-4</v>
      </c>
      <c r="J42" s="3">
        <v>1.83802E-4</v>
      </c>
      <c r="K42" s="3">
        <v>1.7867100000000001E-4</v>
      </c>
    </row>
    <row r="43" spans="1:11" x14ac:dyDescent="0.25">
      <c r="A43" t="s">
        <v>9</v>
      </c>
      <c r="B43" s="3">
        <v>1.86601E-4</v>
      </c>
      <c r="C43" s="3">
        <v>1.6794100000000001E-4</v>
      </c>
      <c r="D43" s="3">
        <v>1.7027399999999999E-4</v>
      </c>
      <c r="E43" s="3">
        <v>1.81936E-4</v>
      </c>
      <c r="F43" s="3">
        <v>1.9966299999999999E-4</v>
      </c>
      <c r="G43" s="3">
        <v>1.908E-4</v>
      </c>
      <c r="H43" s="3">
        <v>1.5814400000000001E-4</v>
      </c>
      <c r="I43" s="3">
        <v>1.5534500000000001E-4</v>
      </c>
      <c r="J43" s="3">
        <v>1.54413E-4</v>
      </c>
      <c r="K43" s="3">
        <v>1.5861099999999999E-4</v>
      </c>
    </row>
    <row r="44" spans="1:11" x14ac:dyDescent="0.25">
      <c r="A44" t="s">
        <v>10</v>
      </c>
      <c r="B44" s="3">
        <v>2.3791599999999999E-4</v>
      </c>
      <c r="C44" s="3">
        <v>2.3745E-4</v>
      </c>
      <c r="D44" s="3">
        <v>3.2002000000000002E-4</v>
      </c>
      <c r="E44" s="3">
        <v>2.3791599999999999E-4</v>
      </c>
      <c r="F44" s="3">
        <v>2.1739E-4</v>
      </c>
      <c r="G44" s="3">
        <v>2.0666E-4</v>
      </c>
      <c r="H44" s="3">
        <v>2.1085900000000001E-4</v>
      </c>
      <c r="I44" s="3">
        <v>2.0572799999999999E-4</v>
      </c>
      <c r="J44" s="3">
        <v>2.5517699999999999E-4</v>
      </c>
      <c r="K44" s="3">
        <v>2.18323E-4</v>
      </c>
    </row>
    <row r="45" spans="1:11" x14ac:dyDescent="0.25">
      <c r="A45" t="s">
        <v>11</v>
      </c>
      <c r="B45" s="3">
        <v>2.0059599999999999E-4</v>
      </c>
      <c r="C45" s="3">
        <v>1.7587200000000001E-4</v>
      </c>
      <c r="D45" s="3">
        <v>1.74938E-4</v>
      </c>
      <c r="E45" s="3">
        <v>1.83802E-4</v>
      </c>
      <c r="F45" s="3">
        <v>1.72139E-4</v>
      </c>
      <c r="G45" s="3">
        <v>1.7167199999999999E-4</v>
      </c>
      <c r="H45" s="3">
        <v>1.76338E-4</v>
      </c>
      <c r="I45" s="3">
        <v>1.7353799999999999E-4</v>
      </c>
      <c r="J45" s="3">
        <v>1.7260600000000001E-4</v>
      </c>
      <c r="K45" s="3">
        <v>2.64973E-4</v>
      </c>
    </row>
    <row r="46" spans="1:11" x14ac:dyDescent="0.25">
      <c r="A46" t="s">
        <v>12</v>
      </c>
      <c r="B46" s="3">
        <v>2.5704299999999999E-4</v>
      </c>
      <c r="C46" s="3">
        <v>1.6467599999999999E-4</v>
      </c>
      <c r="D46" s="3">
        <v>1.56744E-4</v>
      </c>
      <c r="E46" s="3">
        <v>1.6001000000000001E-4</v>
      </c>
      <c r="F46" s="3">
        <v>1.54413E-4</v>
      </c>
      <c r="G46" s="3">
        <v>1.5534500000000001E-4</v>
      </c>
      <c r="H46" s="3">
        <v>1.5347900000000001E-4</v>
      </c>
      <c r="I46" s="3">
        <v>1.54878E-4</v>
      </c>
      <c r="J46" s="3">
        <v>1.5021300000000001E-4</v>
      </c>
      <c r="K46" s="3">
        <v>1.55346E-4</v>
      </c>
    </row>
    <row r="47" spans="1:11" x14ac:dyDescent="0.25">
      <c r="A47" t="s">
        <v>13</v>
      </c>
      <c r="B47" s="3">
        <v>2.7943500000000002E-4</v>
      </c>
      <c r="C47" s="3">
        <v>2.42115E-4</v>
      </c>
      <c r="D47" s="3">
        <v>2.58442E-4</v>
      </c>
      <c r="E47" s="3">
        <v>2.4957899999999999E-4</v>
      </c>
      <c r="F47" s="3">
        <v>2.4911200000000001E-4</v>
      </c>
      <c r="G47" s="3">
        <v>3.7040199999999998E-4</v>
      </c>
      <c r="H47" s="3">
        <v>2.8876500000000002E-4</v>
      </c>
      <c r="I47" s="3">
        <v>2.7150399999999999E-4</v>
      </c>
      <c r="J47" s="3">
        <v>2.4351400000000001E-4</v>
      </c>
      <c r="K47" s="3">
        <v>2.4677999999999999E-4</v>
      </c>
    </row>
    <row r="48" spans="1:11" x14ac:dyDescent="0.25">
      <c r="A48" t="s">
        <v>14</v>
      </c>
      <c r="B48" s="3">
        <v>2.7430299999999999E-4</v>
      </c>
      <c r="C48" s="3">
        <v>2.4957899999999999E-4</v>
      </c>
      <c r="D48" s="3">
        <v>2.5097800000000001E-4</v>
      </c>
      <c r="E48" s="3">
        <v>2.5331099999999999E-4</v>
      </c>
      <c r="F48" s="3">
        <v>2.4444700000000001E-4</v>
      </c>
      <c r="G48" s="3">
        <v>2.4724600000000001E-4</v>
      </c>
      <c r="H48" s="3">
        <v>2.4677999999999999E-4</v>
      </c>
      <c r="I48" s="3">
        <v>2.5004500000000001E-4</v>
      </c>
      <c r="J48" s="3">
        <v>2.4398099999999999E-4</v>
      </c>
      <c r="K48" s="3">
        <v>2.39783E-4</v>
      </c>
    </row>
    <row r="49" spans="1:11" x14ac:dyDescent="0.25">
      <c r="A49" t="s">
        <v>15</v>
      </c>
      <c r="B49" s="3">
        <v>3.09291E-4</v>
      </c>
      <c r="C49" s="3">
        <v>2.9249700000000002E-4</v>
      </c>
      <c r="D49" s="3">
        <v>4.6137100000000003E-4</v>
      </c>
      <c r="E49" s="3">
        <v>4.46909E-4</v>
      </c>
      <c r="F49" s="3">
        <v>4.2964799999999998E-4</v>
      </c>
      <c r="G49" s="3">
        <v>4.4830800000000002E-4</v>
      </c>
      <c r="H49" s="3">
        <v>4.3291400000000001E-4</v>
      </c>
      <c r="I49" s="3">
        <v>4.4830800000000002E-4</v>
      </c>
      <c r="J49" s="3">
        <v>3.2981699999999999E-4</v>
      </c>
      <c r="K49" s="3">
        <v>4.1378699999999999E-4</v>
      </c>
    </row>
    <row r="50" spans="1:11" x14ac:dyDescent="0.25">
      <c r="A50" t="s">
        <v>16</v>
      </c>
      <c r="B50" s="3">
        <v>2.09459E-4</v>
      </c>
      <c r="C50" s="3">
        <v>2.1272500000000001E-4</v>
      </c>
      <c r="D50" s="3">
        <v>1.9219899999999999E-4</v>
      </c>
      <c r="E50" s="3">
        <v>3.2981699999999999E-4</v>
      </c>
      <c r="F50" s="3">
        <v>2.18323E-4</v>
      </c>
      <c r="G50" s="3">
        <v>1.74005E-4</v>
      </c>
      <c r="H50" s="3">
        <v>1.7447200000000001E-4</v>
      </c>
      <c r="I50" s="3">
        <v>1.72139E-4</v>
      </c>
      <c r="J50" s="3">
        <v>2.68705E-4</v>
      </c>
      <c r="K50" s="3">
        <v>1.7447200000000001E-4</v>
      </c>
    </row>
    <row r="51" spans="1:11" x14ac:dyDescent="0.25">
      <c r="A51" t="s">
        <v>17</v>
      </c>
      <c r="B51" s="3">
        <v>1.8660000000000001E-4</v>
      </c>
      <c r="C51" s="3">
        <v>1.5814400000000001E-4</v>
      </c>
      <c r="D51" s="3">
        <v>1.6374299999999999E-4</v>
      </c>
      <c r="E51" s="3">
        <v>1.5534500000000001E-4</v>
      </c>
      <c r="F51" s="3">
        <v>1.5394599999999999E-4</v>
      </c>
      <c r="G51" s="3">
        <v>1.6234299999999999E-4</v>
      </c>
      <c r="H51" s="3">
        <v>1.53012E-4</v>
      </c>
      <c r="I51" s="3">
        <v>1.9733000000000001E-4</v>
      </c>
      <c r="J51" s="3">
        <v>2.2252200000000001E-4</v>
      </c>
      <c r="K51" s="3">
        <v>1.6794100000000001E-4</v>
      </c>
    </row>
    <row r="52" spans="1:11" x14ac:dyDescent="0.25">
      <c r="A52" t="s">
        <v>18</v>
      </c>
      <c r="B52" s="3">
        <v>2.1879000000000001E-4</v>
      </c>
      <c r="C52" s="3">
        <v>1.9173200000000001E-4</v>
      </c>
      <c r="D52" s="3">
        <v>1.9313199999999999E-4</v>
      </c>
      <c r="E52" s="3">
        <v>1.9126599999999999E-4</v>
      </c>
      <c r="F52" s="3">
        <v>1.8799999999999999E-4</v>
      </c>
      <c r="G52" s="3">
        <v>1.8240199999999999E-4</v>
      </c>
      <c r="H52" s="3">
        <v>1.83802E-4</v>
      </c>
      <c r="I52" s="3">
        <v>2.11325E-4</v>
      </c>
      <c r="J52" s="3">
        <v>1.8706699999999999E-4</v>
      </c>
      <c r="K52" s="3">
        <v>1.83802E-4</v>
      </c>
    </row>
    <row r="53" spans="1:11" x14ac:dyDescent="0.25">
      <c r="A53" t="s">
        <v>19</v>
      </c>
      <c r="B53" s="3">
        <v>1.7073899999999999E-4</v>
      </c>
      <c r="C53" s="3">
        <v>1.4275E-4</v>
      </c>
      <c r="D53" s="3">
        <v>1.4321599999999999E-4</v>
      </c>
      <c r="E53" s="3">
        <v>1.40884E-4</v>
      </c>
      <c r="F53" s="3">
        <v>1.7447200000000001E-4</v>
      </c>
      <c r="G53" s="3">
        <v>1.4228400000000001E-4</v>
      </c>
      <c r="H53" s="3">
        <v>1.3948399999999999E-4</v>
      </c>
      <c r="I53" s="3">
        <v>1.38085E-4</v>
      </c>
      <c r="J53" s="3">
        <v>1.38085E-4</v>
      </c>
      <c r="K53" s="3">
        <v>1.38551E-4</v>
      </c>
    </row>
    <row r="54" spans="1:11" x14ac:dyDescent="0.25">
      <c r="A54" t="s">
        <v>20</v>
      </c>
      <c r="B54" s="3">
        <v>3.0509299999999999E-4</v>
      </c>
      <c r="C54" s="3">
        <v>4.1612000000000002E-4</v>
      </c>
      <c r="D54" s="3">
        <v>2.4724600000000001E-4</v>
      </c>
      <c r="E54" s="3">
        <v>2.4771299999999999E-4</v>
      </c>
      <c r="F54" s="3">
        <v>2.4538000000000001E-4</v>
      </c>
      <c r="G54" s="3">
        <v>2.4444700000000001E-4</v>
      </c>
      <c r="H54" s="3">
        <v>2.40249E-4</v>
      </c>
      <c r="I54" s="3">
        <v>2.3604999999999999E-4</v>
      </c>
      <c r="J54" s="3">
        <v>2.4864599999999999E-4</v>
      </c>
      <c r="K54" s="3">
        <v>2.4071499999999999E-4</v>
      </c>
    </row>
    <row r="55" spans="1:11" x14ac:dyDescent="0.25">
      <c r="A55" t="s">
        <v>21</v>
      </c>
      <c r="B55" s="3">
        <v>2.6404E-4</v>
      </c>
      <c r="C55" s="3">
        <v>2.0992600000000001E-4</v>
      </c>
      <c r="D55" s="3">
        <v>2.16457E-4</v>
      </c>
      <c r="E55" s="3">
        <v>2.0899300000000001E-4</v>
      </c>
      <c r="F55" s="3">
        <v>2.0899300000000001E-4</v>
      </c>
      <c r="G55" s="3">
        <v>2.0806000000000001E-4</v>
      </c>
      <c r="H55" s="3">
        <v>2.2812E-4</v>
      </c>
      <c r="I55" s="3">
        <v>2.22055E-4</v>
      </c>
      <c r="J55" s="3">
        <v>2.1365800000000001E-4</v>
      </c>
      <c r="K55" s="3">
        <v>2.3465000000000001E-4</v>
      </c>
    </row>
    <row r="56" spans="1:11" x14ac:dyDescent="0.25">
      <c r="A56" t="s">
        <v>22</v>
      </c>
      <c r="B56" s="3">
        <v>2.29986E-4</v>
      </c>
      <c r="C56" s="3">
        <v>2.5797599999999998E-4</v>
      </c>
      <c r="D56" s="3">
        <v>1.9406499999999999E-4</v>
      </c>
      <c r="E56" s="3">
        <v>1.90333E-4</v>
      </c>
      <c r="F56" s="3">
        <v>1.9126599999999999E-4</v>
      </c>
      <c r="G56" s="3">
        <v>1.8893299999999999E-4</v>
      </c>
      <c r="H56" s="3">
        <v>1.908E-4</v>
      </c>
      <c r="I56" s="3">
        <v>1.8893299999999999E-4</v>
      </c>
      <c r="J56" s="3">
        <v>1.9779699999999999E-4</v>
      </c>
      <c r="K56" s="3">
        <v>2.1552400000000001E-4</v>
      </c>
    </row>
    <row r="57" spans="1:11" x14ac:dyDescent="0.25">
      <c r="A57" t="s">
        <v>23</v>
      </c>
      <c r="B57" s="3">
        <v>3.1209E-4</v>
      </c>
      <c r="C57" s="3">
        <v>2.95295E-4</v>
      </c>
      <c r="D57" s="3">
        <v>2.83634E-4</v>
      </c>
      <c r="E57" s="3">
        <v>2.8130100000000002E-4</v>
      </c>
      <c r="F57" s="3">
        <v>2.8316700000000002E-4</v>
      </c>
      <c r="G57" s="3">
        <v>2.8130100000000002E-4</v>
      </c>
      <c r="H57" s="3">
        <v>2.9156400000000002E-4</v>
      </c>
      <c r="I57" s="3">
        <v>2.8036800000000002E-4</v>
      </c>
      <c r="J57" s="3">
        <v>4.5344E-4</v>
      </c>
      <c r="K57" s="3">
        <v>2.9016399999999998E-4</v>
      </c>
    </row>
    <row r="58" spans="1:11" x14ac:dyDescent="0.25">
      <c r="A58" t="s">
        <v>24</v>
      </c>
      <c r="B58" s="3">
        <v>2.7896799999999999E-4</v>
      </c>
      <c r="C58" s="3">
        <v>2.6637299999999998E-4</v>
      </c>
      <c r="D58" s="3">
        <v>2.8829799999999998E-4</v>
      </c>
      <c r="E58" s="3">
        <v>2.4631300000000001E-4</v>
      </c>
      <c r="F58" s="3">
        <v>2.4304700000000001E-4</v>
      </c>
      <c r="G58" s="3">
        <v>2.4258099999999999E-4</v>
      </c>
      <c r="H58" s="3">
        <v>2.4677899999999998E-4</v>
      </c>
      <c r="I58" s="3">
        <v>2.59375E-4</v>
      </c>
      <c r="J58" s="3">
        <v>2.61241E-4</v>
      </c>
      <c r="K58" s="3">
        <v>2.58442E-4</v>
      </c>
    </row>
    <row r="59" spans="1:11" x14ac:dyDescent="0.25">
      <c r="A59" t="s">
        <v>25</v>
      </c>
      <c r="B59" s="3">
        <v>2.8736499999999998E-4</v>
      </c>
      <c r="C59" s="3">
        <v>2.6543999999999998E-4</v>
      </c>
      <c r="D59" s="3">
        <v>2.6357300000000002E-4</v>
      </c>
      <c r="E59" s="3">
        <v>2.58442E-4</v>
      </c>
      <c r="F59" s="3">
        <v>2.6077499999999998E-4</v>
      </c>
      <c r="G59" s="3">
        <v>2.5984199999999998E-4</v>
      </c>
      <c r="H59" s="3">
        <v>2.6823800000000002E-4</v>
      </c>
      <c r="I59" s="3">
        <v>2.5984199999999998E-4</v>
      </c>
      <c r="J59" s="3">
        <v>2.62174E-4</v>
      </c>
      <c r="K59" s="3">
        <v>2.6917199999999998E-4</v>
      </c>
    </row>
    <row r="60" spans="1:11" x14ac:dyDescent="0.25">
      <c r="A60" t="s">
        <v>26</v>
      </c>
      <c r="B60" s="3">
        <v>2.9576199999999998E-4</v>
      </c>
      <c r="C60" s="3">
        <v>2.4911200000000001E-4</v>
      </c>
      <c r="D60" s="3">
        <v>2.3838200000000001E-4</v>
      </c>
      <c r="E60" s="3">
        <v>2.4211400000000001E-4</v>
      </c>
      <c r="F60" s="3">
        <v>2.4351400000000001E-4</v>
      </c>
      <c r="G60" s="3">
        <v>2.9809500000000001E-4</v>
      </c>
      <c r="H60" s="3">
        <v>2.4538000000000001E-4</v>
      </c>
      <c r="I60" s="3">
        <v>2.41182E-4</v>
      </c>
      <c r="J60" s="3">
        <v>2.5704299999999999E-4</v>
      </c>
      <c r="K60" s="3">
        <v>2.4164799999999999E-4</v>
      </c>
    </row>
    <row r="61" spans="1:11" x14ac:dyDescent="0.25">
      <c r="A61" t="s">
        <v>27</v>
      </c>
      <c r="B61" s="3">
        <v>3.7086999999999998E-4</v>
      </c>
      <c r="C61" s="3">
        <v>3.40546E-4</v>
      </c>
      <c r="D61" s="3">
        <v>3.2515199999999999E-4</v>
      </c>
      <c r="E61" s="3">
        <v>3.4194599999999998E-4</v>
      </c>
      <c r="F61" s="3">
        <v>3.2468500000000001E-4</v>
      </c>
      <c r="G61" s="3">
        <v>3.11157E-4</v>
      </c>
      <c r="H61" s="3">
        <v>3.94194E-4</v>
      </c>
      <c r="I61" s="3">
        <v>3.4940999999999998E-4</v>
      </c>
      <c r="J61" s="3">
        <v>3.3868100000000002E-4</v>
      </c>
      <c r="K61" s="3">
        <v>5.0568800000000001E-4</v>
      </c>
    </row>
    <row r="62" spans="1:11" x14ac:dyDescent="0.25">
      <c r="A62" t="s">
        <v>28</v>
      </c>
      <c r="B62" s="3">
        <v>2.7290300000000001E-4</v>
      </c>
      <c r="C62" s="3">
        <v>2.5377700000000001E-4</v>
      </c>
      <c r="D62" s="3">
        <v>2.5704299999999999E-4</v>
      </c>
      <c r="E62" s="3">
        <v>2.7010499999999998E-4</v>
      </c>
      <c r="F62" s="3">
        <v>2.5051199999999999E-4</v>
      </c>
      <c r="G62" s="3">
        <v>2.3931500000000001E-4</v>
      </c>
      <c r="H62" s="3">
        <v>2.5471000000000001E-4</v>
      </c>
      <c r="I62" s="3">
        <v>2.7616899999999999E-4</v>
      </c>
      <c r="J62" s="3">
        <v>2.5517699999999999E-4</v>
      </c>
      <c r="K62" s="3">
        <v>2.61241E-4</v>
      </c>
    </row>
    <row r="63" spans="1:11" x14ac:dyDescent="0.25">
      <c r="A63" t="s">
        <v>29</v>
      </c>
      <c r="B63" s="3">
        <v>3.0695800000000002E-4</v>
      </c>
      <c r="C63" s="3">
        <v>2.8083399999999999E-4</v>
      </c>
      <c r="D63" s="3">
        <v>2.8410000000000002E-4</v>
      </c>
      <c r="E63" s="3">
        <v>2.8503300000000002E-4</v>
      </c>
      <c r="F63" s="3">
        <v>2.9996100000000001E-4</v>
      </c>
      <c r="G63" s="3">
        <v>4.68369E-4</v>
      </c>
      <c r="H63" s="3">
        <v>3.2468500000000001E-4</v>
      </c>
      <c r="I63" s="3">
        <v>2.8923099999999998E-4</v>
      </c>
      <c r="J63" s="3">
        <v>2.9436300000000001E-4</v>
      </c>
      <c r="K63" s="3">
        <v>2.8969800000000002E-4</v>
      </c>
    </row>
    <row r="64" spans="1:11" x14ac:dyDescent="0.25">
      <c r="A64" t="s">
        <v>30</v>
      </c>
      <c r="B64" s="3">
        <v>3.0276000000000001E-4</v>
      </c>
      <c r="C64" s="3">
        <v>2.57509E-4</v>
      </c>
      <c r="D64" s="3">
        <v>2.3418399999999999E-4</v>
      </c>
      <c r="E64" s="3">
        <v>2.2345399999999999E-4</v>
      </c>
      <c r="F64" s="3">
        <v>2.2672E-4</v>
      </c>
      <c r="G64" s="3">
        <v>2.5284400000000001E-4</v>
      </c>
      <c r="H64" s="3">
        <v>2.40249E-4</v>
      </c>
      <c r="I64" s="3">
        <v>2.3278400000000001E-4</v>
      </c>
      <c r="J64" s="3">
        <v>3.5827299999999999E-4</v>
      </c>
      <c r="K64" s="3">
        <v>3.4847699999999998E-4</v>
      </c>
    </row>
    <row r="65" spans="1:11" x14ac:dyDescent="0.25">
      <c r="A65" t="s">
        <v>31</v>
      </c>
      <c r="B65" s="3">
        <v>3.7926600000000001E-4</v>
      </c>
      <c r="C65" s="3">
        <v>3.5220899999999997E-4</v>
      </c>
      <c r="D65" s="3">
        <v>3.5827299999999999E-4</v>
      </c>
      <c r="E65" s="3">
        <v>3.5034299999999998E-4</v>
      </c>
      <c r="F65" s="3">
        <v>3.5267600000000001E-4</v>
      </c>
      <c r="G65" s="3">
        <v>3.5920700000000001E-4</v>
      </c>
      <c r="H65" s="3">
        <v>3.6433899999999998E-4</v>
      </c>
      <c r="I65" s="3">
        <v>3.4194599999999998E-4</v>
      </c>
      <c r="J65" s="3">
        <v>3.5640800000000001E-4</v>
      </c>
      <c r="K65" s="3">
        <v>3.39613E-4</v>
      </c>
    </row>
    <row r="66" spans="1:11" x14ac:dyDescent="0.25">
      <c r="A66" t="s">
        <v>32</v>
      </c>
      <c r="B66" s="3">
        <v>3.17688E-4</v>
      </c>
      <c r="C66" s="3">
        <v>4.5623899999999999E-4</v>
      </c>
      <c r="D66" s="3">
        <v>2.9529600000000001E-4</v>
      </c>
      <c r="E66" s="3">
        <v>2.90165E-4</v>
      </c>
      <c r="F66" s="3">
        <v>2.91098E-4</v>
      </c>
      <c r="G66" s="3">
        <v>2.8829799999999998E-4</v>
      </c>
      <c r="H66" s="3">
        <v>2.8969800000000002E-4</v>
      </c>
      <c r="I66" s="3">
        <v>3.2561800000000001E-4</v>
      </c>
      <c r="J66" s="3">
        <v>2.9156400000000002E-4</v>
      </c>
      <c r="K66" s="3">
        <v>2.9109699999999998E-4</v>
      </c>
    </row>
    <row r="67" spans="1:11" x14ac:dyDescent="0.25">
      <c r="A67" t="s">
        <v>33</v>
      </c>
      <c r="B67" s="3">
        <v>2.81768E-4</v>
      </c>
      <c r="C67" s="3">
        <v>2.6917199999999998E-4</v>
      </c>
      <c r="D67" s="3">
        <v>2.6917199999999998E-4</v>
      </c>
      <c r="E67" s="3">
        <v>2.6730599999999998E-4</v>
      </c>
      <c r="F67" s="3">
        <v>2.6170700000000002E-4</v>
      </c>
      <c r="G67" s="3">
        <v>2.6170700000000002E-4</v>
      </c>
      <c r="H67" s="3">
        <v>2.64973E-4</v>
      </c>
      <c r="I67" s="3">
        <v>2.6170700000000002E-4</v>
      </c>
      <c r="J67" s="3">
        <v>2.7943400000000001E-4</v>
      </c>
      <c r="K67" s="3">
        <v>3.0322699999999999E-4</v>
      </c>
    </row>
    <row r="68" spans="1:11" x14ac:dyDescent="0.25">
      <c r="A68" t="s">
        <v>34</v>
      </c>
      <c r="B68" s="3">
        <v>2.5424399999999999E-4</v>
      </c>
      <c r="C68" s="3">
        <v>2.3931500000000001E-4</v>
      </c>
      <c r="D68" s="3">
        <v>2.3698299999999999E-4</v>
      </c>
      <c r="E68" s="3">
        <v>2.3651600000000001E-4</v>
      </c>
      <c r="F68" s="3">
        <v>2.38383E-4</v>
      </c>
      <c r="G68" s="3">
        <v>2.3744900000000001E-4</v>
      </c>
      <c r="H68" s="3">
        <v>2.36517E-4</v>
      </c>
      <c r="I68" s="3">
        <v>2.5751000000000002E-4</v>
      </c>
      <c r="J68" s="3">
        <v>2.4724600000000001E-4</v>
      </c>
      <c r="K68" s="3">
        <v>2.6917100000000002E-4</v>
      </c>
    </row>
    <row r="69" spans="1:11" x14ac:dyDescent="0.25">
      <c r="A69" t="s">
        <v>35</v>
      </c>
      <c r="B69" s="3">
        <v>2.92031E-4</v>
      </c>
      <c r="C69" s="3">
        <v>4.2591699999999999E-4</v>
      </c>
      <c r="D69" s="3">
        <v>2.8503300000000002E-4</v>
      </c>
      <c r="E69" s="3">
        <v>2.7710199999999999E-4</v>
      </c>
      <c r="F69" s="3">
        <v>2.7663600000000003E-4</v>
      </c>
      <c r="G69" s="3">
        <v>2.7523700000000001E-4</v>
      </c>
      <c r="H69" s="3">
        <v>2.7570300000000003E-4</v>
      </c>
      <c r="I69" s="3">
        <v>2.7896799999999999E-4</v>
      </c>
      <c r="J69" s="3">
        <v>2.7103799999999998E-4</v>
      </c>
      <c r="K69" s="3">
        <v>2.67772E-4</v>
      </c>
    </row>
    <row r="70" spans="1:11" x14ac:dyDescent="0.25">
      <c r="A70" t="s">
        <v>36</v>
      </c>
      <c r="B70" s="3">
        <v>3.5687499999999999E-4</v>
      </c>
      <c r="C70" s="3">
        <v>3.4148000000000002E-4</v>
      </c>
      <c r="D70" s="3">
        <v>3.2608499999999999E-4</v>
      </c>
      <c r="E70" s="3">
        <v>3.2655100000000001E-4</v>
      </c>
      <c r="F70" s="3">
        <v>3.3121700000000002E-4</v>
      </c>
      <c r="G70" s="3">
        <v>3.3401500000000001E-4</v>
      </c>
      <c r="H70" s="3">
        <v>3.3774800000000002E-4</v>
      </c>
      <c r="I70" s="3">
        <v>3.3541499999999999E-4</v>
      </c>
      <c r="J70" s="3">
        <v>3.3028400000000002E-4</v>
      </c>
      <c r="K70" s="3">
        <v>3.4614500000000001E-4</v>
      </c>
    </row>
    <row r="71" spans="1:11" x14ac:dyDescent="0.25">
      <c r="A71" t="s">
        <v>37</v>
      </c>
      <c r="B71" s="3">
        <v>3.8999500000000002E-4</v>
      </c>
      <c r="C71" s="3">
        <v>3.8579800000000002E-4</v>
      </c>
      <c r="D71" s="3">
        <v>3.8206500000000001E-4</v>
      </c>
      <c r="E71" s="3">
        <v>3.8486500000000002E-4</v>
      </c>
      <c r="F71" s="3">
        <v>3.6993600000000002E-4</v>
      </c>
      <c r="G71" s="3">
        <v>3.6946899999999998E-4</v>
      </c>
      <c r="H71" s="3">
        <v>3.70403E-4</v>
      </c>
      <c r="I71" s="3">
        <v>3.71336E-4</v>
      </c>
      <c r="J71" s="3">
        <v>3.6947E-4</v>
      </c>
      <c r="K71" s="3">
        <v>3.7553400000000001E-4</v>
      </c>
    </row>
    <row r="72" spans="1:11" x14ac:dyDescent="0.25">
      <c r="A72" t="s">
        <v>38</v>
      </c>
      <c r="B72" s="3">
        <v>3.3961400000000002E-4</v>
      </c>
      <c r="C72" s="3">
        <v>3.18621E-4</v>
      </c>
      <c r="D72" s="3">
        <v>3.3401500000000001E-4</v>
      </c>
      <c r="E72" s="3">
        <v>3.1908799999999998E-4</v>
      </c>
      <c r="F72" s="3">
        <v>3.2655100000000001E-4</v>
      </c>
      <c r="G72" s="3">
        <v>3.15822E-4</v>
      </c>
      <c r="H72" s="3">
        <v>3.18621E-4</v>
      </c>
      <c r="I72" s="3">
        <v>3.1722199999999998E-4</v>
      </c>
      <c r="J72" s="3">
        <v>3.1722199999999998E-4</v>
      </c>
      <c r="K72" s="3">
        <v>3.1628899999999998E-4</v>
      </c>
    </row>
    <row r="73" spans="1:11" x14ac:dyDescent="0.25">
      <c r="A73" t="s">
        <v>39</v>
      </c>
      <c r="B73" s="3">
        <v>3.4427900000000002E-4</v>
      </c>
      <c r="C73" s="3">
        <v>3.36814E-4</v>
      </c>
      <c r="D73" s="3">
        <v>3.4148000000000002E-4</v>
      </c>
      <c r="E73" s="3">
        <v>3.3215000000000002E-4</v>
      </c>
      <c r="F73" s="3">
        <v>3.4474499999999998E-4</v>
      </c>
      <c r="G73" s="3">
        <v>3.4521200000000001E-4</v>
      </c>
      <c r="H73" s="3">
        <v>3.5267600000000001E-4</v>
      </c>
      <c r="I73" s="3">
        <v>3.3541499999999999E-4</v>
      </c>
      <c r="J73" s="3">
        <v>3.2142E-4</v>
      </c>
      <c r="K73" s="3">
        <v>3.3494900000000002E-4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selection activeCell="A2" sqref="A2"/>
    </sheetView>
  </sheetViews>
  <sheetFormatPr defaultRowHeight="15" x14ac:dyDescent="0.25"/>
  <cols>
    <col min="1" max="1" width="8.5703125" bestFit="1" customWidth="1"/>
    <col min="2" max="11" width="12" bestFit="1" customWidth="1"/>
  </cols>
  <sheetData>
    <row r="1" spans="1:11" x14ac:dyDescent="0.25">
      <c r="A1" t="s">
        <v>4</v>
      </c>
    </row>
    <row r="2" spans="1:11" x14ac:dyDescent="0.25">
      <c r="A2" t="s">
        <v>5</v>
      </c>
      <c r="B2" s="3">
        <v>2.21122E-4</v>
      </c>
      <c r="C2" s="3">
        <v>1.3248599999999999E-4</v>
      </c>
      <c r="D2" s="3">
        <v>1.2082399999999999E-4</v>
      </c>
      <c r="E2" s="3">
        <v>1.2315699999999999E-4</v>
      </c>
      <c r="F2" s="3">
        <v>1.2362300000000001E-4</v>
      </c>
      <c r="G2" s="3">
        <v>1.2175700000000001E-4</v>
      </c>
      <c r="H2" s="3">
        <v>1.20358E-4</v>
      </c>
      <c r="I2" s="3">
        <v>1.21291E-4</v>
      </c>
      <c r="J2" s="3">
        <v>1.2082399999999999E-4</v>
      </c>
      <c r="K2" s="3">
        <v>1.20357E-4</v>
      </c>
    </row>
    <row r="3" spans="1:11" x14ac:dyDescent="0.25">
      <c r="A3" t="s">
        <v>6</v>
      </c>
      <c r="B3" s="3">
        <v>2.14124E-4</v>
      </c>
      <c r="C3" s="3">
        <v>1.59543E-4</v>
      </c>
      <c r="D3" s="3">
        <v>1.5814400000000001E-4</v>
      </c>
      <c r="E3" s="3">
        <v>1.5861099999999999E-4</v>
      </c>
      <c r="F3" s="3">
        <v>1.9359800000000001E-4</v>
      </c>
      <c r="G3" s="3">
        <v>1.6700800000000001E-4</v>
      </c>
      <c r="H3" s="3">
        <v>1.6700800000000001E-4</v>
      </c>
      <c r="I3" s="3">
        <v>1.5861099999999999E-4</v>
      </c>
      <c r="J3" s="3">
        <v>1.56744E-4</v>
      </c>
      <c r="K3" s="3">
        <v>1.6234299999999999E-4</v>
      </c>
    </row>
    <row r="4" spans="1:11" x14ac:dyDescent="0.25">
      <c r="A4" t="s">
        <v>7</v>
      </c>
      <c r="B4" s="3">
        <v>4.2731600000000001E-4</v>
      </c>
      <c r="C4" s="3">
        <v>4.0025899999999998E-4</v>
      </c>
      <c r="D4" s="3">
        <v>3.9512800000000002E-4</v>
      </c>
      <c r="E4" s="3">
        <v>3.7180200000000002E-4</v>
      </c>
      <c r="F4" s="3">
        <v>3.6573699999999998E-4</v>
      </c>
      <c r="G4" s="3">
        <v>3.68537E-4</v>
      </c>
      <c r="H4" s="3">
        <v>3.7786599999999998E-4</v>
      </c>
      <c r="I4" s="3">
        <v>3.6993600000000002E-4</v>
      </c>
      <c r="J4" s="3">
        <v>3.7926600000000001E-4</v>
      </c>
      <c r="K4" s="3">
        <v>3.92328E-4</v>
      </c>
    </row>
    <row r="5" spans="1:11" x14ac:dyDescent="0.25">
      <c r="A5" t="s">
        <v>8</v>
      </c>
      <c r="B5" s="3">
        <v>4.47842E-4</v>
      </c>
      <c r="C5" s="3">
        <v>3.4614500000000001E-4</v>
      </c>
      <c r="D5" s="3">
        <v>3.2841700000000001E-4</v>
      </c>
      <c r="E5" s="3">
        <v>3.73202E-4</v>
      </c>
      <c r="F5" s="3">
        <v>4.3617999999999999E-4</v>
      </c>
      <c r="G5" s="3">
        <v>3.4940999999999998E-4</v>
      </c>
      <c r="H5" s="3">
        <v>3.48943E-4</v>
      </c>
      <c r="I5" s="3">
        <v>3.11157E-4</v>
      </c>
      <c r="J5" s="3">
        <v>3.1908700000000002E-4</v>
      </c>
      <c r="K5" s="3">
        <v>3.1535500000000002E-4</v>
      </c>
    </row>
    <row r="6" spans="1:11" x14ac:dyDescent="0.25">
      <c r="A6" t="s">
        <v>9</v>
      </c>
      <c r="B6">
        <v>1.057561E-3</v>
      </c>
      <c r="C6">
        <v>1.020707E-3</v>
      </c>
      <c r="D6">
        <v>1.084151E-3</v>
      </c>
      <c r="E6">
        <v>1.009511E-3</v>
      </c>
      <c r="F6">
        <v>1.014175E-3</v>
      </c>
      <c r="G6" s="3">
        <v>9.9784799999999996E-4</v>
      </c>
      <c r="H6">
        <v>1.0328360000000001E-3</v>
      </c>
      <c r="I6" s="3">
        <v>9.4839900000000005E-4</v>
      </c>
      <c r="J6" s="3">
        <v>9.3487099999999999E-4</v>
      </c>
      <c r="K6">
        <v>1.0029800000000001E-3</v>
      </c>
    </row>
    <row r="7" spans="1:11" x14ac:dyDescent="0.25">
      <c r="A7" t="s">
        <v>10</v>
      </c>
      <c r="B7" s="3">
        <v>5.7659699999999998E-4</v>
      </c>
      <c r="C7" s="3">
        <v>5.54205E-4</v>
      </c>
      <c r="D7" s="3">
        <v>5.1501800000000001E-4</v>
      </c>
      <c r="E7" s="3">
        <v>5.1221899999999996E-4</v>
      </c>
      <c r="F7" s="3">
        <v>5.1175199999999998E-4</v>
      </c>
      <c r="G7" s="3">
        <v>5.1501900000000002E-4</v>
      </c>
      <c r="H7" s="3">
        <v>5.4580700000000004E-4</v>
      </c>
      <c r="I7" s="3">
        <v>5.8452700000000005E-4</v>
      </c>
      <c r="J7" s="3">
        <v>5.7659699999999998E-4</v>
      </c>
      <c r="K7" s="3">
        <v>5.7193200000000004E-4</v>
      </c>
    </row>
    <row r="8" spans="1:11" x14ac:dyDescent="0.25">
      <c r="A8" t="s">
        <v>11</v>
      </c>
      <c r="B8" s="3">
        <v>3.8626399999999999E-4</v>
      </c>
      <c r="C8" s="3">
        <v>3.13023E-4</v>
      </c>
      <c r="D8" s="3">
        <v>3.0555900000000001E-4</v>
      </c>
      <c r="E8" s="3">
        <v>3.19554E-4</v>
      </c>
      <c r="F8">
        <v>1.9653740000000002E-3</v>
      </c>
      <c r="G8" s="3">
        <v>3.1628899999999998E-4</v>
      </c>
      <c r="H8" s="3">
        <v>2.9343000000000001E-4</v>
      </c>
      <c r="I8" s="3">
        <v>2.9156400000000002E-4</v>
      </c>
      <c r="J8" s="3">
        <v>2.9389599999999998E-4</v>
      </c>
      <c r="K8" s="3">
        <v>3.5920599999999999E-4</v>
      </c>
    </row>
    <row r="9" spans="1:11" x14ac:dyDescent="0.25">
      <c r="A9" t="s">
        <v>12</v>
      </c>
      <c r="B9" s="3">
        <v>5.5700400000000005E-4</v>
      </c>
      <c r="C9" s="3">
        <v>5.2294899999999998E-4</v>
      </c>
      <c r="D9" s="3">
        <v>5.1688500000000002E-4</v>
      </c>
      <c r="E9" s="3">
        <v>5.26214E-4</v>
      </c>
      <c r="F9" s="3">
        <v>5.1408499999999995E-4</v>
      </c>
      <c r="G9" s="3">
        <v>5.1455200000000004E-4</v>
      </c>
      <c r="H9" s="3">
        <v>5.3227899999999998E-4</v>
      </c>
      <c r="I9" s="3">
        <v>5.1221899999999996E-4</v>
      </c>
      <c r="J9" s="3">
        <v>5.0942000000000001E-4</v>
      </c>
      <c r="K9" s="3">
        <v>5.1968299999999995E-4</v>
      </c>
    </row>
    <row r="10" spans="1:11" x14ac:dyDescent="0.25">
      <c r="A10" t="s">
        <v>13</v>
      </c>
      <c r="B10" s="3">
        <v>7.9305399999999996E-4</v>
      </c>
      <c r="C10" s="3">
        <v>7.0768299999999997E-4</v>
      </c>
      <c r="D10" s="3">
        <v>7.0301800000000002E-4</v>
      </c>
      <c r="E10" s="3">
        <v>6.6149999999999998E-4</v>
      </c>
      <c r="F10" s="3">
        <v>6.7222899999999999E-4</v>
      </c>
      <c r="G10" s="3">
        <v>7.0488500000000004E-4</v>
      </c>
      <c r="H10" s="3">
        <v>7.2447799999999997E-4</v>
      </c>
      <c r="I10" s="3">
        <v>7.2401099999999999E-4</v>
      </c>
      <c r="J10" s="3">
        <v>7.3474E-4</v>
      </c>
      <c r="K10" s="3">
        <v>7.0301900000000004E-4</v>
      </c>
    </row>
    <row r="11" spans="1:11" x14ac:dyDescent="0.25">
      <c r="A11" t="s">
        <v>14</v>
      </c>
      <c r="B11" s="3">
        <v>3.5874000000000002E-4</v>
      </c>
      <c r="C11" s="3">
        <v>2.39783E-4</v>
      </c>
      <c r="D11" s="3">
        <v>2.3744900000000001E-4</v>
      </c>
      <c r="E11" s="3">
        <v>2.4444700000000001E-4</v>
      </c>
      <c r="F11" s="3">
        <v>2.2065499999999999E-4</v>
      </c>
      <c r="G11" s="3">
        <v>2.20189E-4</v>
      </c>
      <c r="H11" s="3">
        <v>2.2345500000000001E-4</v>
      </c>
      <c r="I11" s="3">
        <v>2.2345500000000001E-4</v>
      </c>
      <c r="J11" s="3">
        <v>2.20189E-4</v>
      </c>
      <c r="K11" s="3">
        <v>3.4661099999999998E-4</v>
      </c>
    </row>
    <row r="12" spans="1:11" x14ac:dyDescent="0.25">
      <c r="A12" t="s">
        <v>15</v>
      </c>
      <c r="B12" s="3">
        <v>6.7689499999999995E-4</v>
      </c>
      <c r="C12" s="3">
        <v>6.3677500000000001E-4</v>
      </c>
      <c r="D12" s="3">
        <v>6.3490900000000002E-4</v>
      </c>
      <c r="E12" s="3">
        <v>5.8546E-4</v>
      </c>
      <c r="F12" s="3">
        <v>6.2371300000000002E-4</v>
      </c>
      <c r="G12" s="3">
        <v>6.5123700000000004E-4</v>
      </c>
      <c r="H12" s="3">
        <v>6.7129699999999995E-4</v>
      </c>
      <c r="I12" s="3">
        <v>6.5030399999999999E-4</v>
      </c>
      <c r="J12" s="3">
        <v>5.9572300000000004E-4</v>
      </c>
      <c r="K12" s="3">
        <v>5.9105799999999999E-4</v>
      </c>
    </row>
    <row r="13" spans="1:11" x14ac:dyDescent="0.25">
      <c r="A13" t="s">
        <v>16</v>
      </c>
      <c r="B13">
        <v>1.1513269999999999E-3</v>
      </c>
      <c r="C13">
        <v>1.1233370000000001E-3</v>
      </c>
      <c r="D13">
        <v>1.1056099999999999E-3</v>
      </c>
      <c r="E13">
        <v>1.1098080000000001E-3</v>
      </c>
      <c r="F13">
        <v>1.1233370000000001E-3</v>
      </c>
      <c r="G13">
        <v>1.100478E-3</v>
      </c>
      <c r="H13">
        <v>1.1233370000000001E-3</v>
      </c>
      <c r="I13">
        <v>1.1238039999999999E-3</v>
      </c>
      <c r="J13">
        <v>1.1270690000000001E-3</v>
      </c>
      <c r="K13">
        <v>1.1648559999999999E-3</v>
      </c>
    </row>
    <row r="14" spans="1:11" x14ac:dyDescent="0.25">
      <c r="A14" t="s">
        <v>17</v>
      </c>
      <c r="B14" s="3">
        <v>3.0369199999999999E-4</v>
      </c>
      <c r="C14" s="3">
        <v>2.7290399999999997E-4</v>
      </c>
      <c r="D14" s="3">
        <v>2.7523700000000001E-4</v>
      </c>
      <c r="E14" s="3">
        <v>2.5471000000000001E-4</v>
      </c>
      <c r="F14" s="3">
        <v>2.5284400000000001E-4</v>
      </c>
      <c r="G14" s="3">
        <v>2.5610900000000002E-4</v>
      </c>
      <c r="H14" s="3">
        <v>2.5331099999999999E-4</v>
      </c>
      <c r="I14" s="3">
        <v>2.9482899999999998E-4</v>
      </c>
      <c r="J14" s="3">
        <v>2.68705E-4</v>
      </c>
      <c r="K14" s="3">
        <v>2.7663500000000001E-4</v>
      </c>
    </row>
    <row r="15" spans="1:11" x14ac:dyDescent="0.25">
      <c r="A15" t="s">
        <v>18</v>
      </c>
      <c r="B15" s="3">
        <v>5.0615499999999999E-4</v>
      </c>
      <c r="C15" s="3">
        <v>5.0149000000000005E-4</v>
      </c>
      <c r="D15" s="3">
        <v>4.9355899999999997E-4</v>
      </c>
      <c r="E15" s="3">
        <v>4.72566E-4</v>
      </c>
      <c r="F15" s="3">
        <v>4.5763800000000001E-4</v>
      </c>
      <c r="G15" s="3">
        <v>4.4364399999999998E-4</v>
      </c>
      <c r="H15" s="3">
        <v>4.2451700000000001E-4</v>
      </c>
      <c r="I15" s="3">
        <v>4.50641E-4</v>
      </c>
      <c r="J15" s="3">
        <v>4.5344E-4</v>
      </c>
      <c r="K15" s="3">
        <v>4.3384700000000001E-4</v>
      </c>
    </row>
    <row r="16" spans="1:11" x14ac:dyDescent="0.25">
      <c r="A16" t="s">
        <v>19</v>
      </c>
      <c r="B16" s="3">
        <v>2.1412499999999999E-4</v>
      </c>
      <c r="C16" s="3">
        <v>1.6607500000000001E-4</v>
      </c>
      <c r="D16" s="3">
        <v>9.9831E-5</v>
      </c>
      <c r="E16" s="3">
        <v>6.7642000000000001E-5</v>
      </c>
      <c r="F16" s="3">
        <v>6.6710000000000003E-5</v>
      </c>
      <c r="G16" s="3">
        <v>6.9974999999999993E-5</v>
      </c>
      <c r="H16" s="3">
        <v>6.2978000000000006E-5</v>
      </c>
      <c r="I16" s="3">
        <v>5.8779000000000001E-5</v>
      </c>
      <c r="J16" s="3">
        <v>5.8780000000000003E-5</v>
      </c>
      <c r="K16" s="3">
        <v>5.9246000000000002E-5</v>
      </c>
    </row>
    <row r="17" spans="1:11" x14ac:dyDescent="0.25">
      <c r="A17" t="s">
        <v>20</v>
      </c>
      <c r="B17">
        <v>2.7323030000000002E-3</v>
      </c>
      <c r="C17">
        <v>1.0598929999999999E-3</v>
      </c>
      <c r="D17">
        <v>1.017907E-3</v>
      </c>
      <c r="E17" s="3">
        <v>5.3601099999999997E-4</v>
      </c>
      <c r="F17" s="3">
        <v>5.8686000000000003E-4</v>
      </c>
      <c r="G17" s="3">
        <v>9.0687999999999999E-4</v>
      </c>
      <c r="H17" s="3">
        <v>8.3410600000000004E-4</v>
      </c>
      <c r="I17" s="3">
        <v>4.8189700000000001E-4</v>
      </c>
      <c r="J17" s="3">
        <v>8.0564899999999997E-4</v>
      </c>
      <c r="K17" s="3">
        <v>8.0238399999999995E-4</v>
      </c>
    </row>
    <row r="18" spans="1:11" x14ac:dyDescent="0.25">
      <c r="A18" t="s">
        <v>21</v>
      </c>
      <c r="B18" s="3">
        <v>5.6866600000000001E-4</v>
      </c>
      <c r="C18" s="3">
        <v>4.9262600000000002E-4</v>
      </c>
      <c r="D18" s="3">
        <v>4.8142999999999998E-4</v>
      </c>
      <c r="E18" s="3">
        <v>5.2388200000000004E-4</v>
      </c>
      <c r="F18" s="3">
        <v>5.3461199999999996E-4</v>
      </c>
      <c r="G18" s="3">
        <v>5.24348E-4</v>
      </c>
      <c r="H18" s="3">
        <v>5.0522200000000005E-4</v>
      </c>
      <c r="I18" s="3">
        <v>5.0662199999999998E-4</v>
      </c>
      <c r="J18" s="3">
        <v>5.2341599999999996E-4</v>
      </c>
      <c r="K18" s="3">
        <v>5.0802099999999999E-4</v>
      </c>
    </row>
    <row r="19" spans="1:11" x14ac:dyDescent="0.25">
      <c r="A19" t="s">
        <v>22</v>
      </c>
      <c r="B19" s="3">
        <v>9.4886500000000002E-4</v>
      </c>
      <c r="C19" s="3">
        <v>9.3440400000000001E-4</v>
      </c>
      <c r="D19" s="3">
        <v>9.3393800000000004E-4</v>
      </c>
      <c r="E19" s="3">
        <v>9.0781300000000004E-4</v>
      </c>
      <c r="F19" s="3">
        <v>9.1341100000000004E-4</v>
      </c>
      <c r="G19" s="3">
        <v>9.0594700000000005E-4</v>
      </c>
      <c r="H19" s="3">
        <v>9.0221500000000005E-4</v>
      </c>
      <c r="I19" s="3">
        <v>9.1201200000000002E-4</v>
      </c>
      <c r="J19" s="3">
        <v>8.4670100000000005E-4</v>
      </c>
      <c r="K19" s="3">
        <v>9.1527700000000004E-4</v>
      </c>
    </row>
    <row r="20" spans="1:11" x14ac:dyDescent="0.25">
      <c r="A20" t="s">
        <v>23</v>
      </c>
      <c r="B20" s="3">
        <v>5.1641800000000004E-4</v>
      </c>
      <c r="C20" s="3">
        <v>4.9169299999999997E-4</v>
      </c>
      <c r="D20" s="3">
        <v>4.8609499999999997E-4</v>
      </c>
      <c r="E20" s="3">
        <v>5.0149000000000005E-4</v>
      </c>
      <c r="F20" s="3">
        <v>4.9449300000000004E-4</v>
      </c>
      <c r="G20" s="3">
        <v>4.93093E-4</v>
      </c>
      <c r="H20" s="3">
        <v>4.5437299999999999E-4</v>
      </c>
      <c r="I20" s="3">
        <v>4.7863099999999998E-4</v>
      </c>
      <c r="J20" s="3">
        <v>5.1641800000000004E-4</v>
      </c>
      <c r="K20" s="3">
        <v>5.02423E-4</v>
      </c>
    </row>
    <row r="21" spans="1:11" x14ac:dyDescent="0.25">
      <c r="A21" t="s">
        <v>24</v>
      </c>
      <c r="B21">
        <v>1.2469600000000001E-3</v>
      </c>
      <c r="C21">
        <v>1.130802E-3</v>
      </c>
      <c r="D21">
        <v>1.214772E-3</v>
      </c>
      <c r="E21">
        <v>1.1284680000000001E-3</v>
      </c>
      <c r="F21">
        <v>1.1345330000000001E-3</v>
      </c>
      <c r="G21">
        <v>1.1280019999999999E-3</v>
      </c>
      <c r="H21">
        <v>3.1731469999999999E-3</v>
      </c>
      <c r="I21">
        <v>1.2306319999999999E-3</v>
      </c>
      <c r="J21">
        <v>1.207308E-3</v>
      </c>
      <c r="K21">
        <v>1.144796E-3</v>
      </c>
    </row>
    <row r="22" spans="1:11" x14ac:dyDescent="0.25">
      <c r="A22" t="s">
        <v>25</v>
      </c>
      <c r="B22" s="3">
        <v>5.0708800000000005E-4</v>
      </c>
      <c r="C22" s="3">
        <v>4.8096400000000001E-4</v>
      </c>
      <c r="D22" s="3">
        <v>4.6510300000000002E-4</v>
      </c>
      <c r="E22" s="3">
        <v>4.4644200000000002E-4</v>
      </c>
      <c r="F22" s="3">
        <v>4.5670500000000001E-4</v>
      </c>
      <c r="G22" s="3">
        <v>4.8422899999999997E-4</v>
      </c>
      <c r="H22" s="3">
        <v>4.5623899999999999E-4</v>
      </c>
      <c r="I22" s="3">
        <v>4.4737500000000002E-4</v>
      </c>
      <c r="J22" s="3">
        <v>4.5017499999999998E-4</v>
      </c>
      <c r="K22" s="3">
        <v>4.4830899999999998E-4</v>
      </c>
    </row>
    <row r="23" spans="1:11" x14ac:dyDescent="0.25">
      <c r="A23" t="s">
        <v>26</v>
      </c>
      <c r="B23" s="3">
        <v>1.2269000000000001E-4</v>
      </c>
      <c r="C23" s="3">
        <v>5.3180999999999998E-5</v>
      </c>
      <c r="D23" s="3">
        <v>4.2450999999999997E-5</v>
      </c>
      <c r="E23" s="3">
        <v>4.1984999999999999E-5</v>
      </c>
      <c r="F23" s="3">
        <v>4.1517999999999998E-5</v>
      </c>
      <c r="G23" s="3">
        <v>4.1051999999999999E-5</v>
      </c>
      <c r="H23" s="3">
        <v>4.1051999999999999E-5</v>
      </c>
      <c r="I23" s="3">
        <v>4.1053000000000001E-5</v>
      </c>
      <c r="J23" s="3">
        <v>4.0586000000000001E-5</v>
      </c>
      <c r="K23" s="3">
        <v>4.1519E-5</v>
      </c>
    </row>
    <row r="25" spans="1:11" x14ac:dyDescent="0.25">
      <c r="A25" t="s">
        <v>40</v>
      </c>
    </row>
    <row r="26" spans="1:11" x14ac:dyDescent="0.25">
      <c r="A26" t="s">
        <v>5</v>
      </c>
      <c r="B26" s="3">
        <v>1.16626E-4</v>
      </c>
      <c r="C26" s="3">
        <v>1.0403000000000001E-4</v>
      </c>
      <c r="D26" s="3">
        <v>9.7498999999999996E-5</v>
      </c>
      <c r="E26" s="3">
        <v>1.0916099999999999E-4</v>
      </c>
      <c r="F26" s="3">
        <v>1.06363E-4</v>
      </c>
      <c r="G26" s="3">
        <v>1.0263E-4</v>
      </c>
      <c r="H26" s="3">
        <v>1.02631E-4</v>
      </c>
      <c r="I26" s="3">
        <v>1.00765E-4</v>
      </c>
      <c r="J26" s="3">
        <v>1.0216400000000001E-4</v>
      </c>
      <c r="K26" s="3">
        <v>1.02631E-4</v>
      </c>
    </row>
    <row r="27" spans="1:11" x14ac:dyDescent="0.25">
      <c r="A27" t="s">
        <v>6</v>
      </c>
      <c r="B27" s="3">
        <v>1.4974699999999999E-4</v>
      </c>
      <c r="C27" s="3">
        <v>1.50214E-4</v>
      </c>
      <c r="D27" s="3">
        <v>2.0945999999999999E-4</v>
      </c>
      <c r="E27" s="3">
        <v>2.12258E-4</v>
      </c>
      <c r="F27" s="3">
        <v>2.0012900000000001E-4</v>
      </c>
      <c r="G27" s="3">
        <v>2.14124E-4</v>
      </c>
      <c r="H27" s="3">
        <v>2.1599100000000001E-4</v>
      </c>
      <c r="I27" s="3">
        <v>2.0526100000000001E-4</v>
      </c>
      <c r="J27" s="3">
        <v>2.0012900000000001E-4</v>
      </c>
      <c r="K27" s="3">
        <v>1.4181600000000001E-4</v>
      </c>
    </row>
    <row r="28" spans="1:11" x14ac:dyDescent="0.25">
      <c r="A28" t="s">
        <v>7</v>
      </c>
      <c r="B28" s="3">
        <v>3.3168299999999999E-4</v>
      </c>
      <c r="C28" s="3">
        <v>3.18621E-4</v>
      </c>
      <c r="D28" s="3">
        <v>3.1348900000000002E-4</v>
      </c>
      <c r="E28" s="3">
        <v>3.2421899999999999E-4</v>
      </c>
      <c r="F28" s="3">
        <v>3.13956E-4</v>
      </c>
      <c r="G28" s="3">
        <v>3.0975700000000002E-4</v>
      </c>
      <c r="H28" s="3">
        <v>3.1348900000000002E-4</v>
      </c>
      <c r="I28" s="3">
        <v>3.1208899999999999E-4</v>
      </c>
      <c r="J28" s="3">
        <v>3.3261599999999999E-4</v>
      </c>
      <c r="K28" s="3">
        <v>3.19554E-4</v>
      </c>
    </row>
    <row r="29" spans="1:11" x14ac:dyDescent="0.25">
      <c r="A29" t="s">
        <v>8</v>
      </c>
      <c r="B29" s="3">
        <v>2.9902800000000001E-4</v>
      </c>
      <c r="C29" s="3">
        <v>2.6917199999999998E-4</v>
      </c>
      <c r="D29" s="3">
        <v>2.7010499999999998E-4</v>
      </c>
      <c r="E29" s="3">
        <v>2.9762899999999999E-4</v>
      </c>
      <c r="F29" s="3">
        <v>2.9529600000000001E-4</v>
      </c>
      <c r="G29" s="3">
        <v>2.7243699999999999E-4</v>
      </c>
      <c r="H29" s="3">
        <v>2.62174E-4</v>
      </c>
      <c r="I29" s="3">
        <v>2.7336999999999999E-4</v>
      </c>
      <c r="J29" s="3">
        <v>2.6543999999999998E-4</v>
      </c>
      <c r="K29" s="3">
        <v>2.63107E-4</v>
      </c>
    </row>
    <row r="30" spans="1:11" x14ac:dyDescent="0.25">
      <c r="A30" t="s">
        <v>9</v>
      </c>
      <c r="B30" s="3">
        <v>8.2804099999999996E-4</v>
      </c>
      <c r="C30" s="3">
        <v>7.9305399999999996E-4</v>
      </c>
      <c r="D30" s="3">
        <v>7.9165400000000003E-4</v>
      </c>
      <c r="E30" s="3">
        <v>7.9072099999999998E-4</v>
      </c>
      <c r="F30" s="3">
        <v>7.8978800000000004E-4</v>
      </c>
      <c r="G30" s="3">
        <v>7.9538600000000003E-4</v>
      </c>
      <c r="H30" s="3">
        <v>7.9025500000000002E-4</v>
      </c>
      <c r="I30" s="3">
        <v>7.8605600000000004E-4</v>
      </c>
      <c r="J30" s="3">
        <v>7.8419000000000004E-4</v>
      </c>
      <c r="K30" s="3">
        <v>8.0984799999999995E-4</v>
      </c>
    </row>
    <row r="31" spans="1:11" x14ac:dyDescent="0.25">
      <c r="A31" t="s">
        <v>10</v>
      </c>
      <c r="B31" s="3">
        <v>4.6603500000000001E-4</v>
      </c>
      <c r="C31" s="3">
        <v>4.3991100000000002E-4</v>
      </c>
      <c r="D31" s="3">
        <v>4.3431399999999999E-4</v>
      </c>
      <c r="E31" s="3">
        <v>4.3477899999999999E-4</v>
      </c>
      <c r="F31" s="3">
        <v>4.3244699999999997E-4</v>
      </c>
      <c r="G31" s="3">
        <v>4.5344E-4</v>
      </c>
      <c r="H31" s="3">
        <v>4.3617999999999999E-4</v>
      </c>
      <c r="I31" s="3">
        <v>6.5590199999999998E-4</v>
      </c>
      <c r="J31" s="3">
        <v>4.4457699999999998E-4</v>
      </c>
      <c r="K31" s="3">
        <v>4.5483999999999998E-4</v>
      </c>
    </row>
    <row r="32" spans="1:11" x14ac:dyDescent="0.25">
      <c r="A32" t="s">
        <v>11</v>
      </c>
      <c r="B32" s="3">
        <v>2.7990099999999999E-4</v>
      </c>
      <c r="C32" s="3">
        <v>2.5424300000000003E-4</v>
      </c>
      <c r="D32" s="3">
        <v>2.6170799999999998E-4</v>
      </c>
      <c r="E32" s="3">
        <v>2.4771199999999998E-4</v>
      </c>
      <c r="F32" s="3">
        <v>2.4957799999999997E-4</v>
      </c>
      <c r="G32" s="3">
        <v>2.4957799999999997E-4</v>
      </c>
      <c r="H32" s="3">
        <v>2.4957899999999999E-4</v>
      </c>
      <c r="I32" s="3">
        <v>2.4817900000000001E-4</v>
      </c>
      <c r="J32" s="3">
        <v>2.4771299999999999E-4</v>
      </c>
      <c r="K32" s="3">
        <v>2.4957899999999999E-4</v>
      </c>
    </row>
    <row r="33" spans="1:11" x14ac:dyDescent="0.25">
      <c r="A33" t="s">
        <v>12</v>
      </c>
      <c r="B33" s="3">
        <v>4.2265100000000002E-4</v>
      </c>
      <c r="C33" s="3">
        <v>4.0259099999999999E-4</v>
      </c>
      <c r="D33" s="3">
        <v>4.1705300000000002E-4</v>
      </c>
      <c r="E33" s="3">
        <v>4.2218399999999998E-4</v>
      </c>
      <c r="F33" s="3">
        <v>4.01658E-4</v>
      </c>
      <c r="G33" s="3">
        <v>4.5437299999999999E-4</v>
      </c>
      <c r="H33" s="3">
        <v>4.3991100000000002E-4</v>
      </c>
      <c r="I33" s="3">
        <v>4.3384700000000001E-4</v>
      </c>
      <c r="J33" s="3">
        <v>3.97926E-4</v>
      </c>
      <c r="K33" s="3">
        <v>3.96993E-4</v>
      </c>
    </row>
    <row r="34" spans="1:11" x14ac:dyDescent="0.25">
      <c r="A34" t="s">
        <v>13</v>
      </c>
      <c r="B34" s="3">
        <v>5.9712299999999997E-4</v>
      </c>
      <c r="C34" s="3">
        <v>5.7752900000000002E-4</v>
      </c>
      <c r="D34" s="3">
        <v>5.7706299999999995E-4</v>
      </c>
      <c r="E34" s="3">
        <v>5.7519799999999996E-4</v>
      </c>
      <c r="F34" s="3">
        <v>5.8732599999999999E-4</v>
      </c>
      <c r="G34" s="3">
        <v>5.7799700000000002E-4</v>
      </c>
      <c r="H34" s="3">
        <v>8.7702400000000001E-4</v>
      </c>
      <c r="I34" s="3">
        <v>5.8546E-4</v>
      </c>
      <c r="J34" s="3">
        <v>5.77996E-4</v>
      </c>
      <c r="K34" s="3">
        <v>5.6959899999999995E-4</v>
      </c>
    </row>
    <row r="35" spans="1:11" x14ac:dyDescent="0.25">
      <c r="A35" t="s">
        <v>14</v>
      </c>
      <c r="B35" s="3">
        <v>3.1815499999999998E-4</v>
      </c>
      <c r="C35" s="3">
        <v>1.9593099999999999E-4</v>
      </c>
      <c r="D35" s="3">
        <v>1.8893299999999999E-4</v>
      </c>
      <c r="E35" s="3">
        <v>1.96398E-4</v>
      </c>
      <c r="F35" s="3">
        <v>1.9593099999999999E-4</v>
      </c>
      <c r="G35" s="3">
        <v>1.9686399999999999E-4</v>
      </c>
      <c r="H35" s="3">
        <v>1.9686399999999999E-4</v>
      </c>
      <c r="I35" s="3">
        <v>1.9639700000000001E-4</v>
      </c>
      <c r="J35" s="3">
        <v>2.0805899999999999E-4</v>
      </c>
      <c r="K35" s="3">
        <v>1.9593099999999999E-4</v>
      </c>
    </row>
    <row r="36" spans="1:11" x14ac:dyDescent="0.25">
      <c r="A36" t="s">
        <v>15</v>
      </c>
      <c r="B36" s="3">
        <v>5.2948000000000003E-4</v>
      </c>
      <c r="C36" s="3">
        <v>4.98691E-4</v>
      </c>
      <c r="D36" s="3">
        <v>4.9822400000000002E-4</v>
      </c>
      <c r="E36" s="3">
        <v>4.9542499999999997E-4</v>
      </c>
      <c r="F36" s="3">
        <v>5.0288899999999996E-4</v>
      </c>
      <c r="G36" s="3">
        <v>4.96825E-4</v>
      </c>
      <c r="H36" s="3">
        <v>5.3181300000000001E-4</v>
      </c>
      <c r="I36" s="3">
        <v>4.9402599999999995E-4</v>
      </c>
      <c r="J36" s="3">
        <v>5.1361899999999999E-4</v>
      </c>
      <c r="K36" s="3">
        <v>4.98691E-4</v>
      </c>
    </row>
    <row r="37" spans="1:11" x14ac:dyDescent="0.25">
      <c r="A37" t="s">
        <v>16</v>
      </c>
      <c r="B37" s="3">
        <v>9.2040799999999995E-4</v>
      </c>
      <c r="C37" s="3">
        <v>9.1014500000000001E-4</v>
      </c>
      <c r="D37" s="3">
        <v>8.9895000000000003E-4</v>
      </c>
      <c r="E37" s="3">
        <v>9.0361499999999997E-4</v>
      </c>
      <c r="F37" s="3">
        <v>8.9475100000000005E-4</v>
      </c>
      <c r="G37" s="3">
        <v>8.9335100000000002E-4</v>
      </c>
      <c r="H37" s="3">
        <v>8.9148500000000002E-4</v>
      </c>
      <c r="I37" s="3">
        <v>8.9661700000000005E-4</v>
      </c>
      <c r="J37" s="3">
        <v>9.2647300000000003E-4</v>
      </c>
      <c r="K37" s="3">
        <v>8.9615099999999998E-4</v>
      </c>
    </row>
    <row r="38" spans="1:11" x14ac:dyDescent="0.25">
      <c r="A38" t="s">
        <v>17</v>
      </c>
      <c r="B38" s="3">
        <v>2.4258099999999999E-4</v>
      </c>
      <c r="C38" s="3">
        <v>2.3091799999999999E-4</v>
      </c>
      <c r="D38" s="3">
        <v>2.14124E-4</v>
      </c>
      <c r="E38" s="3">
        <v>2.1179200000000001E-4</v>
      </c>
      <c r="F38" s="3">
        <v>2.1272500000000001E-4</v>
      </c>
      <c r="G38" s="3">
        <v>2.1225899999999999E-4</v>
      </c>
      <c r="H38" s="3">
        <v>2.1552400000000001E-4</v>
      </c>
      <c r="I38" s="3">
        <v>2.1085900000000001E-4</v>
      </c>
      <c r="J38" s="3">
        <v>2.1085900000000001E-4</v>
      </c>
      <c r="K38" s="3">
        <v>2.1085900000000001E-4</v>
      </c>
    </row>
    <row r="39" spans="1:11" x14ac:dyDescent="0.25">
      <c r="A39" t="s">
        <v>18</v>
      </c>
      <c r="B39" s="3">
        <v>3.8346499999999999E-4</v>
      </c>
      <c r="C39" s="3">
        <v>3.68537E-4</v>
      </c>
      <c r="D39" s="3">
        <v>3.5874099999999999E-4</v>
      </c>
      <c r="E39" s="3">
        <v>3.5407499999999997E-4</v>
      </c>
      <c r="F39" s="3">
        <v>3.5594199999999999E-4</v>
      </c>
      <c r="G39" s="3">
        <v>3.5687400000000003E-4</v>
      </c>
      <c r="H39" s="3">
        <v>3.5827400000000001E-4</v>
      </c>
      <c r="I39" s="3">
        <v>3.5500799999999997E-4</v>
      </c>
      <c r="J39" s="3">
        <v>3.6900399999999998E-4</v>
      </c>
      <c r="K39" s="3">
        <v>3.5640800000000001E-4</v>
      </c>
    </row>
    <row r="40" spans="1:11" x14ac:dyDescent="0.25">
      <c r="A40" t="s">
        <v>19</v>
      </c>
      <c r="B40" s="3">
        <v>1.9966299999999999E-4</v>
      </c>
      <c r="C40" s="3">
        <v>5.7846000000000001E-5</v>
      </c>
      <c r="D40" s="3">
        <v>5.5047000000000003E-5</v>
      </c>
      <c r="E40" s="3">
        <v>5.5513999999999997E-5</v>
      </c>
      <c r="F40" s="3">
        <v>5.5047000000000003E-5</v>
      </c>
      <c r="G40" s="3">
        <v>5.4580999999999998E-5</v>
      </c>
      <c r="H40" s="3">
        <v>5.5047999999999999E-5</v>
      </c>
      <c r="I40" s="3">
        <v>5.4580999999999998E-5</v>
      </c>
      <c r="J40" s="3">
        <v>5.4580999999999998E-5</v>
      </c>
      <c r="K40" s="3">
        <v>5.5047000000000003E-5</v>
      </c>
    </row>
    <row r="41" spans="1:11" x14ac:dyDescent="0.25">
      <c r="A41" t="s">
        <v>20</v>
      </c>
      <c r="B41" s="3">
        <v>2.8130100000000002E-4</v>
      </c>
      <c r="C41" s="3">
        <v>2.6217500000000002E-4</v>
      </c>
      <c r="D41" s="3">
        <v>2.7150500000000001E-4</v>
      </c>
      <c r="E41" s="3">
        <v>2.58442E-4</v>
      </c>
      <c r="F41" s="3">
        <v>2.6170799999999998E-4</v>
      </c>
      <c r="G41" s="3">
        <v>2.6170799999999998E-4</v>
      </c>
      <c r="H41" s="3">
        <v>2.60308E-4</v>
      </c>
      <c r="I41" s="3">
        <v>2.7570200000000001E-4</v>
      </c>
      <c r="J41" s="3">
        <v>2.65906E-4</v>
      </c>
      <c r="K41" s="3">
        <v>2.6357399999999998E-4</v>
      </c>
    </row>
    <row r="42" spans="1:11" x14ac:dyDescent="0.25">
      <c r="A42" t="s">
        <v>21</v>
      </c>
      <c r="B42" s="3">
        <v>4.0632299999999999E-4</v>
      </c>
      <c r="C42" s="3">
        <v>3.8812900000000002E-4</v>
      </c>
      <c r="D42" s="3">
        <v>3.9279499999999998E-4</v>
      </c>
      <c r="E42" s="3">
        <v>3.7973299999999999E-4</v>
      </c>
      <c r="F42" s="3">
        <v>3.7833300000000001E-4</v>
      </c>
      <c r="G42" s="3">
        <v>3.7926600000000001E-4</v>
      </c>
      <c r="H42" s="3">
        <v>3.7973199999999998E-4</v>
      </c>
      <c r="I42" s="3">
        <v>3.7879999999999999E-4</v>
      </c>
      <c r="J42" s="3">
        <v>3.7740000000000001E-4</v>
      </c>
      <c r="K42" s="3">
        <v>3.97926E-4</v>
      </c>
    </row>
    <row r="43" spans="1:11" x14ac:dyDescent="0.25">
      <c r="A43" t="s">
        <v>22</v>
      </c>
      <c r="B43" s="3">
        <v>7.55267E-4</v>
      </c>
      <c r="C43" s="3">
        <v>7.4547100000000005E-4</v>
      </c>
      <c r="D43" s="3">
        <v>7.3800700000000005E-4</v>
      </c>
      <c r="E43" s="3">
        <v>7.38472E-4</v>
      </c>
      <c r="F43" s="3">
        <v>7.3520699999999998E-4</v>
      </c>
      <c r="G43" s="3">
        <v>7.3474100000000002E-4</v>
      </c>
      <c r="H43" s="3">
        <v>7.3800600000000004E-4</v>
      </c>
      <c r="I43" s="3">
        <v>7.3660700000000002E-4</v>
      </c>
      <c r="J43" s="3">
        <v>7.42204E-4</v>
      </c>
      <c r="K43" s="3">
        <v>7.2541100000000002E-4</v>
      </c>
    </row>
    <row r="44" spans="1:11" x14ac:dyDescent="0.25">
      <c r="A44" t="s">
        <v>23</v>
      </c>
      <c r="B44" s="3">
        <v>4.1052200000000002E-4</v>
      </c>
      <c r="C44" s="3">
        <v>3.9466000000000002E-4</v>
      </c>
      <c r="D44" s="3">
        <v>3.9466099999999998E-4</v>
      </c>
      <c r="E44" s="3">
        <v>3.9559399999999998E-4</v>
      </c>
      <c r="F44" s="3">
        <v>3.9372799999999998E-4</v>
      </c>
      <c r="G44" s="3">
        <v>3.9419500000000002E-4</v>
      </c>
      <c r="H44" s="3">
        <v>3.93261E-4</v>
      </c>
      <c r="I44" s="3">
        <v>4.1518700000000002E-4</v>
      </c>
      <c r="J44" s="3">
        <v>3.9745999999999998E-4</v>
      </c>
      <c r="K44" s="3">
        <v>3.8346400000000003E-4</v>
      </c>
    </row>
    <row r="45" spans="1:11" x14ac:dyDescent="0.25">
      <c r="A45" t="s">
        <v>24</v>
      </c>
      <c r="B45" s="3">
        <v>9.9411599999999997E-4</v>
      </c>
      <c r="C45" s="3">
        <v>9.6752600000000002E-4</v>
      </c>
      <c r="D45" s="3">
        <v>9.6519300000000004E-4</v>
      </c>
      <c r="E45" s="3">
        <v>9.6146100000000004E-4</v>
      </c>
      <c r="F45" s="3">
        <v>9.6239399999999999E-4</v>
      </c>
      <c r="G45" s="3">
        <v>9.8198699999999992E-4</v>
      </c>
      <c r="H45" s="3">
        <v>9.6146100000000004E-4</v>
      </c>
      <c r="I45" s="3">
        <v>9.6006200000000002E-4</v>
      </c>
      <c r="J45">
        <v>1.454087E-3</v>
      </c>
      <c r="K45" s="3">
        <v>9.7452300000000003E-4</v>
      </c>
    </row>
    <row r="46" spans="1:11" x14ac:dyDescent="0.25">
      <c r="A46" t="s">
        <v>25</v>
      </c>
      <c r="B46" s="3">
        <v>6.09251E-4</v>
      </c>
      <c r="C46" s="3">
        <v>4.0259200000000001E-4</v>
      </c>
      <c r="D46" s="3">
        <v>3.9559399999999998E-4</v>
      </c>
      <c r="E46" s="3">
        <v>3.8159899999999999E-4</v>
      </c>
      <c r="F46" s="3">
        <v>3.8159899999999999E-4</v>
      </c>
      <c r="G46" s="3">
        <v>4.1985200000000002E-4</v>
      </c>
      <c r="H46" s="3">
        <v>4.0539100000000001E-4</v>
      </c>
      <c r="I46" s="3">
        <v>3.9139600000000002E-4</v>
      </c>
      <c r="J46" s="3">
        <v>3.9186199999999998E-4</v>
      </c>
      <c r="K46" s="3">
        <v>3.91395E-4</v>
      </c>
    </row>
    <row r="47" spans="1:11" x14ac:dyDescent="0.25">
      <c r="A47" t="s">
        <v>26</v>
      </c>
      <c r="B47" s="3">
        <v>4.7583000000000002E-5</v>
      </c>
      <c r="C47" s="3">
        <v>3.3121999999999999E-5</v>
      </c>
      <c r="D47" s="3">
        <v>3.3587999999999998E-5</v>
      </c>
      <c r="E47" s="3">
        <v>3.2654999999999998E-5</v>
      </c>
      <c r="F47" s="3">
        <v>3.2187999999999997E-5</v>
      </c>
      <c r="G47" s="3">
        <v>3.2654999999999998E-5</v>
      </c>
      <c r="H47" s="3">
        <v>3.7320999999999997E-5</v>
      </c>
      <c r="I47" s="3">
        <v>3.8254000000000003E-5</v>
      </c>
      <c r="J47" s="3">
        <v>3.6854000000000003E-5</v>
      </c>
      <c r="K47" s="3">
        <v>3.6387000000000002E-5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A2" sqref="A2:A21"/>
    </sheetView>
  </sheetViews>
  <sheetFormatPr defaultRowHeight="15" x14ac:dyDescent="0.25"/>
  <cols>
    <col min="1" max="1" width="8.5703125" bestFit="1" customWidth="1"/>
    <col min="2" max="11" width="12" bestFit="1" customWidth="1"/>
  </cols>
  <sheetData>
    <row r="1" spans="1:11" x14ac:dyDescent="0.25">
      <c r="A1" t="s">
        <v>4</v>
      </c>
    </row>
    <row r="2" spans="1:11" x14ac:dyDescent="0.25">
      <c r="A2" t="s">
        <v>5</v>
      </c>
      <c r="B2" s="3">
        <v>1.5394599999999999E-4</v>
      </c>
      <c r="C2" s="3">
        <v>1.3155299999999999E-4</v>
      </c>
      <c r="D2" s="3">
        <v>1.34819E-4</v>
      </c>
      <c r="E2" s="3">
        <v>1.45549E-4</v>
      </c>
      <c r="F2" s="3">
        <v>1.3621799999999999E-4</v>
      </c>
      <c r="G2" s="3">
        <v>1.3202099999999999E-4</v>
      </c>
      <c r="H2" s="3">
        <v>1.3155299999999999E-4</v>
      </c>
      <c r="I2" s="3">
        <v>1.30154E-4</v>
      </c>
      <c r="J2" s="3">
        <v>1.2968800000000001E-4</v>
      </c>
      <c r="K2" s="3">
        <v>1.3248700000000001E-4</v>
      </c>
    </row>
    <row r="3" spans="1:11" x14ac:dyDescent="0.25">
      <c r="A3" t="s">
        <v>6</v>
      </c>
      <c r="B3" s="3">
        <v>2.2252200000000001E-4</v>
      </c>
      <c r="C3" s="3">
        <v>1.73072E-4</v>
      </c>
      <c r="D3" s="3">
        <v>1.7540500000000001E-4</v>
      </c>
      <c r="E3" s="3">
        <v>1.76338E-4</v>
      </c>
      <c r="F3" s="3">
        <v>1.6934E-4</v>
      </c>
      <c r="G3" s="3">
        <v>1.894E-4</v>
      </c>
      <c r="H3" s="3">
        <v>1.8240300000000001E-4</v>
      </c>
      <c r="I3" s="3">
        <v>1.7960299999999999E-4</v>
      </c>
      <c r="J3" s="3">
        <v>1.74005E-4</v>
      </c>
      <c r="K3" s="3">
        <v>1.7167300000000001E-4</v>
      </c>
    </row>
    <row r="4" spans="1:11" x14ac:dyDescent="0.25">
      <c r="A4" t="s">
        <v>7</v>
      </c>
      <c r="B4" s="3">
        <v>2.65906E-4</v>
      </c>
      <c r="C4" s="3">
        <v>2.4071499999999999E-4</v>
      </c>
      <c r="D4" s="3">
        <v>2.33718E-4</v>
      </c>
      <c r="E4" s="3">
        <v>2.19256E-4</v>
      </c>
      <c r="F4" s="3">
        <v>2.18323E-4</v>
      </c>
      <c r="G4" s="3">
        <v>2.2812E-4</v>
      </c>
      <c r="H4" s="3">
        <v>2.20189E-4</v>
      </c>
      <c r="I4" s="3">
        <v>2.1739E-4</v>
      </c>
      <c r="J4" s="3">
        <v>2.40249E-4</v>
      </c>
      <c r="K4" s="3">
        <v>2.3325099999999999E-4</v>
      </c>
    </row>
    <row r="5" spans="1:11" x14ac:dyDescent="0.25">
      <c r="A5" t="s">
        <v>8</v>
      </c>
      <c r="B5" s="3">
        <v>3.47077E-4</v>
      </c>
      <c r="C5" s="3">
        <v>2.9249700000000002E-4</v>
      </c>
      <c r="D5" s="3">
        <v>2.83634E-4</v>
      </c>
      <c r="E5" s="3">
        <v>3.1209E-4</v>
      </c>
      <c r="F5" s="3">
        <v>2.8783200000000002E-4</v>
      </c>
      <c r="G5" s="3">
        <v>2.8176699999999999E-4</v>
      </c>
      <c r="H5" s="3">
        <v>2.65906E-4</v>
      </c>
      <c r="I5" s="3">
        <v>2.6823899999999998E-4</v>
      </c>
      <c r="J5" s="3">
        <v>2.6917100000000002E-4</v>
      </c>
      <c r="K5" s="3">
        <v>2.8736499999999998E-4</v>
      </c>
    </row>
    <row r="6" spans="1:11" x14ac:dyDescent="0.25">
      <c r="A6" t="s">
        <v>9</v>
      </c>
      <c r="B6" s="3">
        <v>4.0352399999999999E-4</v>
      </c>
      <c r="C6" s="3">
        <v>3.42412E-4</v>
      </c>
      <c r="D6" s="3">
        <v>3.3494800000000001E-4</v>
      </c>
      <c r="E6" s="3">
        <v>3.13956E-4</v>
      </c>
      <c r="F6" s="3">
        <v>4.1052200000000002E-4</v>
      </c>
      <c r="G6" s="3">
        <v>3.3541499999999999E-4</v>
      </c>
      <c r="H6" s="3">
        <v>3.10224E-4</v>
      </c>
      <c r="I6" s="3">
        <v>3.1255600000000002E-4</v>
      </c>
      <c r="J6" s="3">
        <v>3.1535500000000002E-4</v>
      </c>
      <c r="K6" s="3">
        <v>3.1209E-4</v>
      </c>
    </row>
    <row r="7" spans="1:11" x14ac:dyDescent="0.25">
      <c r="A7" t="s">
        <v>10</v>
      </c>
      <c r="B7" s="3">
        <v>4.43177E-4</v>
      </c>
      <c r="C7" s="3">
        <v>3.8906299999999998E-4</v>
      </c>
      <c r="D7" s="3">
        <v>3.71336E-4</v>
      </c>
      <c r="E7" s="3">
        <v>3.5874000000000002E-4</v>
      </c>
      <c r="F7" s="3">
        <v>3.6060699999999998E-4</v>
      </c>
      <c r="G7" s="3">
        <v>3.6340599999999998E-4</v>
      </c>
      <c r="H7" s="3">
        <v>3.5967300000000002E-4</v>
      </c>
      <c r="I7" s="3">
        <v>3.6060600000000002E-4</v>
      </c>
      <c r="J7" s="3">
        <v>3.6807000000000002E-4</v>
      </c>
      <c r="K7" s="3">
        <v>3.87663E-4</v>
      </c>
    </row>
    <row r="8" spans="1:11" x14ac:dyDescent="0.25">
      <c r="A8" t="s">
        <v>11</v>
      </c>
      <c r="B8" s="3">
        <v>4.70235E-4</v>
      </c>
      <c r="C8" s="3">
        <v>4.4177700000000002E-4</v>
      </c>
      <c r="D8" s="3">
        <v>4.0958900000000003E-4</v>
      </c>
      <c r="E8" s="3">
        <v>4.0538999999999999E-4</v>
      </c>
      <c r="F8" s="3">
        <v>4.40378E-4</v>
      </c>
      <c r="G8" s="3">
        <v>4.4271099999999998E-4</v>
      </c>
      <c r="H8" s="3">
        <v>4.0679000000000003E-4</v>
      </c>
      <c r="I8" s="3">
        <v>4.0818899999999999E-4</v>
      </c>
      <c r="J8" s="3">
        <v>4.0725599999999999E-4</v>
      </c>
      <c r="K8" s="3">
        <v>4.0632299999999999E-4</v>
      </c>
    </row>
    <row r="9" spans="1:11" x14ac:dyDescent="0.25">
      <c r="A9" t="s">
        <v>12</v>
      </c>
      <c r="B9" s="3">
        <v>5.2154999999999997E-4</v>
      </c>
      <c r="C9" s="3">
        <v>5.02423E-4</v>
      </c>
      <c r="D9" s="3">
        <v>4.8982799999999999E-4</v>
      </c>
      <c r="E9" s="3">
        <v>4.67901E-4</v>
      </c>
      <c r="F9" s="3">
        <v>4.8003100000000001E-4</v>
      </c>
      <c r="G9" s="3">
        <v>4.5530599999999999E-4</v>
      </c>
      <c r="H9" s="3">
        <v>4.5623899999999999E-4</v>
      </c>
      <c r="I9">
        <v>2.2196170000000001E-3</v>
      </c>
      <c r="J9" s="3">
        <v>5.0195600000000002E-4</v>
      </c>
      <c r="K9" s="3">
        <v>4.9262600000000002E-4</v>
      </c>
    </row>
    <row r="10" spans="1:11" x14ac:dyDescent="0.25">
      <c r="A10" t="s">
        <v>13</v>
      </c>
      <c r="B10" s="3">
        <v>5.7519699999999995E-4</v>
      </c>
      <c r="C10" s="3">
        <v>5.50473E-4</v>
      </c>
      <c r="D10" s="3">
        <v>5.33678E-4</v>
      </c>
      <c r="E10" s="3">
        <v>5.1315200000000001E-4</v>
      </c>
      <c r="F10" s="3">
        <v>5.1828400000000004E-4</v>
      </c>
      <c r="G10" s="3">
        <v>5.1268600000000004E-4</v>
      </c>
      <c r="H10" s="3">
        <v>5.8499400000000003E-4</v>
      </c>
      <c r="I10" s="3">
        <v>5.6166799999999998E-4</v>
      </c>
      <c r="J10" s="3">
        <v>5.4160899999999997E-4</v>
      </c>
      <c r="K10" s="3">
        <v>5.2481499999999998E-4</v>
      </c>
    </row>
    <row r="11" spans="1:11" x14ac:dyDescent="0.25">
      <c r="A11" t="s">
        <v>14</v>
      </c>
      <c r="B11" s="3">
        <v>6.1811500000000003E-4</v>
      </c>
      <c r="C11" s="3">
        <v>5.9432400000000002E-4</v>
      </c>
      <c r="D11" s="3">
        <v>5.5653699999999996E-4</v>
      </c>
      <c r="E11" s="3">
        <v>5.5140600000000005E-4</v>
      </c>
      <c r="F11" s="3">
        <v>6.5543600000000002E-4</v>
      </c>
      <c r="G11" s="3">
        <v>6.2558000000000004E-4</v>
      </c>
      <c r="H11" s="3">
        <v>5.7006600000000004E-4</v>
      </c>
      <c r="I11" s="3">
        <v>5.5933600000000001E-4</v>
      </c>
      <c r="J11" s="3">
        <v>5.6493400000000001E-4</v>
      </c>
      <c r="K11" s="3">
        <v>6.1625000000000004E-4</v>
      </c>
    </row>
    <row r="12" spans="1:11" x14ac:dyDescent="0.25">
      <c r="A12" t="s">
        <v>15</v>
      </c>
      <c r="B12" s="3">
        <v>7.07217E-4</v>
      </c>
      <c r="C12" s="3">
        <v>6.4050800000000003E-4</v>
      </c>
      <c r="D12" s="3">
        <v>5.9992200000000002E-4</v>
      </c>
      <c r="E12" s="3">
        <v>6.8809000000000003E-4</v>
      </c>
      <c r="F12" s="3">
        <v>6.5216899999999997E-4</v>
      </c>
      <c r="G12" s="3">
        <v>6.6196699999999996E-4</v>
      </c>
      <c r="H12" s="3">
        <v>6.07853E-4</v>
      </c>
      <c r="I12" s="3">
        <v>5.9712299999999997E-4</v>
      </c>
      <c r="J12" s="3">
        <v>6.04121E-4</v>
      </c>
      <c r="K12" s="3">
        <v>6.00389E-4</v>
      </c>
    </row>
    <row r="13" spans="1:11" x14ac:dyDescent="0.25">
      <c r="A13" t="s">
        <v>16</v>
      </c>
      <c r="B13" s="3">
        <v>7.0861700000000004E-4</v>
      </c>
      <c r="C13" s="3">
        <v>7.0628499999999996E-4</v>
      </c>
      <c r="D13" s="3">
        <v>6.8202599999999996E-4</v>
      </c>
      <c r="E13" s="3">
        <v>6.7689499999999995E-4</v>
      </c>
      <c r="F13" s="3">
        <v>6.9555400000000003E-4</v>
      </c>
      <c r="G13" s="3">
        <v>6.5357000000000002E-4</v>
      </c>
      <c r="H13" s="3">
        <v>6.5030399999999999E-4</v>
      </c>
      <c r="I13" s="3">
        <v>6.4937100000000004E-4</v>
      </c>
      <c r="J13" s="3">
        <v>6.4937100000000004E-4</v>
      </c>
      <c r="K13" s="3">
        <v>6.5216999999999998E-4</v>
      </c>
    </row>
    <row r="14" spans="1:11" x14ac:dyDescent="0.25">
      <c r="A14" t="s">
        <v>17</v>
      </c>
      <c r="B14" s="3">
        <v>7.9445299999999998E-4</v>
      </c>
      <c r="C14" s="3">
        <v>7.5759899999999997E-4</v>
      </c>
      <c r="D14" s="3">
        <v>7.2634299999999995E-4</v>
      </c>
      <c r="E14" s="3">
        <v>7.0115300000000004E-4</v>
      </c>
      <c r="F14" s="3">
        <v>6.9742100000000004E-4</v>
      </c>
      <c r="G14" s="3">
        <v>7.4966900000000001E-4</v>
      </c>
      <c r="H14" s="3">
        <v>7.4826999999999999E-4</v>
      </c>
      <c r="I14" s="3">
        <v>7.5060199999999995E-4</v>
      </c>
      <c r="J14" s="3">
        <v>6.9928700000000004E-4</v>
      </c>
      <c r="K14" s="3">
        <v>6.9508899999999997E-4</v>
      </c>
    </row>
    <row r="15" spans="1:11" x14ac:dyDescent="0.25">
      <c r="A15" t="s">
        <v>18</v>
      </c>
      <c r="B15" s="3">
        <v>8.2944099999999999E-4</v>
      </c>
      <c r="C15" s="3">
        <v>8.0238300000000005E-4</v>
      </c>
      <c r="D15" s="3">
        <v>7.7392699999999999E-4</v>
      </c>
      <c r="E15" s="3">
        <v>7.5386799999999999E-4</v>
      </c>
      <c r="F15" s="3">
        <v>9.5726199999999996E-4</v>
      </c>
      <c r="G15" s="3">
        <v>7.8512299999999998E-4</v>
      </c>
      <c r="H15" s="3">
        <v>8.0424999999999995E-4</v>
      </c>
      <c r="I15" s="3">
        <v>7.9631899999999998E-4</v>
      </c>
      <c r="J15" s="3">
        <v>8.0518199999999999E-4</v>
      </c>
      <c r="K15" s="3">
        <v>7.6226500000000003E-4</v>
      </c>
    </row>
    <row r="16" spans="1:11" x14ac:dyDescent="0.25">
      <c r="A16" t="s">
        <v>19</v>
      </c>
      <c r="B16" s="3">
        <v>8.7609099999999996E-4</v>
      </c>
      <c r="C16" s="3">
        <v>8.1124699999999997E-4</v>
      </c>
      <c r="D16" s="3">
        <v>8.4250299999999998E-4</v>
      </c>
      <c r="E16" s="3">
        <v>8.4157000000000004E-4</v>
      </c>
      <c r="F16" s="3">
        <v>8.6582800000000002E-4</v>
      </c>
      <c r="G16" s="3">
        <v>8.6349500000000004E-4</v>
      </c>
      <c r="H16" s="3">
        <v>8.6582800000000002E-4</v>
      </c>
      <c r="I16" s="3">
        <v>8.8961900000000002E-4</v>
      </c>
      <c r="J16" s="3">
        <v>8.6675999999999995E-4</v>
      </c>
      <c r="K16" s="3">
        <v>8.7515800000000001E-4</v>
      </c>
    </row>
    <row r="17" spans="1:11" x14ac:dyDescent="0.25">
      <c r="A17" t="s">
        <v>20</v>
      </c>
      <c r="B17" s="3">
        <v>9.5772900000000005E-4</v>
      </c>
      <c r="C17" s="3">
        <v>9.1387800000000002E-4</v>
      </c>
      <c r="D17" s="3">
        <v>8.3877099999999998E-4</v>
      </c>
      <c r="E17" s="3">
        <v>9.0781300000000004E-4</v>
      </c>
      <c r="F17" s="3">
        <v>9.0548099999999997E-4</v>
      </c>
      <c r="G17" s="3">
        <v>8.3550599999999997E-4</v>
      </c>
      <c r="H17" s="3">
        <v>8.5369799999999996E-4</v>
      </c>
      <c r="I17" s="3">
        <v>8.4530200000000003E-4</v>
      </c>
      <c r="J17" s="3">
        <v>8.4156900000000002E-4</v>
      </c>
      <c r="K17" s="3">
        <v>8.9101899999999995E-4</v>
      </c>
    </row>
    <row r="18" spans="1:11" x14ac:dyDescent="0.25">
      <c r="A18" t="s">
        <v>21</v>
      </c>
      <c r="B18" s="3">
        <v>9.7732200000000009E-4</v>
      </c>
      <c r="C18" s="3">
        <v>9.4653300000000005E-4</v>
      </c>
      <c r="D18" s="3">
        <v>8.8588800000000004E-4</v>
      </c>
      <c r="E18" s="3">
        <v>8.8775300000000002E-4</v>
      </c>
      <c r="F18" s="3">
        <v>8.8588800000000004E-4</v>
      </c>
      <c r="G18" s="3">
        <v>9.4979799999999996E-4</v>
      </c>
      <c r="H18">
        <v>2.0372139999999999E-3</v>
      </c>
      <c r="I18" s="3">
        <v>9.6752600000000002E-4</v>
      </c>
      <c r="J18" s="3">
        <v>8.8308799999999997E-4</v>
      </c>
      <c r="K18" s="3">
        <v>9.1481099999999997E-4</v>
      </c>
    </row>
    <row r="19" spans="1:11" x14ac:dyDescent="0.25">
      <c r="A19" t="s">
        <v>22</v>
      </c>
      <c r="B19">
        <v>1.0127770000000001E-3</v>
      </c>
      <c r="C19">
        <v>1.0524289999999999E-3</v>
      </c>
      <c r="D19">
        <v>1.0309690000000001E-3</v>
      </c>
      <c r="E19">
        <v>1.028637E-3</v>
      </c>
      <c r="F19">
        <v>1.0538279999999999E-3</v>
      </c>
      <c r="G19">
        <v>1.016975E-3</v>
      </c>
      <c r="H19">
        <v>1.009977E-3</v>
      </c>
      <c r="I19" s="3">
        <v>9.9598200000000007E-4</v>
      </c>
      <c r="J19" s="3">
        <v>9.8758500000000003E-4</v>
      </c>
      <c r="K19" s="3">
        <v>9.9551599999999989E-4</v>
      </c>
    </row>
    <row r="20" spans="1:11" x14ac:dyDescent="0.25">
      <c r="A20" t="s">
        <v>23</v>
      </c>
      <c r="B20">
        <v>1.0981459999999999E-3</v>
      </c>
      <c r="C20">
        <v>1.0603590000000001E-3</v>
      </c>
      <c r="D20">
        <v>1.0454310000000001E-3</v>
      </c>
      <c r="E20">
        <v>1.044031E-3</v>
      </c>
      <c r="F20">
        <v>1.0179080000000001E-3</v>
      </c>
      <c r="G20">
        <v>1.065957E-3</v>
      </c>
      <c r="H20">
        <v>1.058493E-3</v>
      </c>
      <c r="I20">
        <v>1.0477640000000001E-3</v>
      </c>
      <c r="J20">
        <v>1.044498E-3</v>
      </c>
      <c r="K20">
        <v>1.0454310000000001E-3</v>
      </c>
    </row>
    <row r="21" spans="1:11" x14ac:dyDescent="0.25">
      <c r="A21" t="s">
        <v>24</v>
      </c>
      <c r="B21">
        <v>1.1452630000000001E-3</v>
      </c>
      <c r="C21">
        <v>1.077153E-3</v>
      </c>
      <c r="D21">
        <v>1.1032780000000001E-3</v>
      </c>
      <c r="E21">
        <v>1.023506E-3</v>
      </c>
      <c r="F21">
        <v>1.032835E-3</v>
      </c>
      <c r="G21">
        <v>1.970505E-3</v>
      </c>
      <c r="H21">
        <v>1.1014110000000001E-3</v>
      </c>
      <c r="I21">
        <v>1.1275359999999999E-3</v>
      </c>
      <c r="J21">
        <v>1.0785530000000001E-3</v>
      </c>
      <c r="K21">
        <v>1.0323699999999999E-3</v>
      </c>
    </row>
    <row r="23" spans="1:11" x14ac:dyDescent="0.25">
      <c r="A23" t="s">
        <v>40</v>
      </c>
    </row>
    <row r="24" spans="1:11" x14ac:dyDescent="0.25">
      <c r="A24" t="s">
        <v>5</v>
      </c>
      <c r="B24" s="3">
        <v>1.09628E-4</v>
      </c>
      <c r="C24" s="3">
        <v>9.5632999999999997E-5</v>
      </c>
      <c r="D24" s="3">
        <v>1.07762E-4</v>
      </c>
      <c r="E24" s="3">
        <v>9.5632999999999997E-5</v>
      </c>
      <c r="F24" s="3">
        <v>9.1899999999999998E-5</v>
      </c>
      <c r="G24" s="3">
        <v>9.6564999999999994E-5</v>
      </c>
      <c r="H24" s="3">
        <v>9.2367000000000005E-5</v>
      </c>
      <c r="I24" s="3">
        <v>9.2367000000000005E-5</v>
      </c>
      <c r="J24" s="3">
        <v>9.1901E-5</v>
      </c>
      <c r="K24" s="3">
        <v>9.0966999999999998E-5</v>
      </c>
    </row>
    <row r="25" spans="1:11" x14ac:dyDescent="0.25">
      <c r="A25" t="s">
        <v>6</v>
      </c>
      <c r="B25" s="3">
        <v>1.5301299999999999E-4</v>
      </c>
      <c r="C25" s="3">
        <v>1.33886E-4</v>
      </c>
      <c r="D25" s="3">
        <v>1.4228299999999999E-4</v>
      </c>
      <c r="E25" s="3">
        <v>2.1552400000000001E-4</v>
      </c>
      <c r="F25" s="3">
        <v>2.12258E-4</v>
      </c>
      <c r="G25" s="3">
        <v>2.0479499999999999E-4</v>
      </c>
      <c r="H25" s="3">
        <v>2.07593E-4</v>
      </c>
      <c r="I25" s="3">
        <v>2.0479499999999999E-4</v>
      </c>
      <c r="J25" s="3">
        <v>1.39951E-4</v>
      </c>
      <c r="K25" s="3">
        <v>2.1179200000000001E-4</v>
      </c>
    </row>
    <row r="26" spans="1:11" x14ac:dyDescent="0.25">
      <c r="A26" t="s">
        <v>7</v>
      </c>
      <c r="B26" s="3">
        <v>1.8753300000000001E-4</v>
      </c>
      <c r="C26" s="3">
        <v>1.6467599999999999E-4</v>
      </c>
      <c r="D26" s="3">
        <v>1.64675E-4</v>
      </c>
      <c r="E26" s="3">
        <v>1.74938E-4</v>
      </c>
      <c r="F26" s="3">
        <v>1.6747499999999999E-4</v>
      </c>
      <c r="G26" s="3">
        <v>1.6467599999999999E-4</v>
      </c>
      <c r="H26" s="3">
        <v>1.67474E-4</v>
      </c>
      <c r="I26" s="3">
        <v>1.7353900000000001E-4</v>
      </c>
      <c r="J26" s="3">
        <v>1.66541E-4</v>
      </c>
      <c r="K26" s="3">
        <v>1.64675E-4</v>
      </c>
    </row>
    <row r="27" spans="1:11" x14ac:dyDescent="0.25">
      <c r="A27" t="s">
        <v>8</v>
      </c>
      <c r="B27" s="3">
        <v>2.24854E-4</v>
      </c>
      <c r="C27" s="3">
        <v>2.0806000000000001E-4</v>
      </c>
      <c r="D27" s="3">
        <v>2.0432800000000001E-4</v>
      </c>
      <c r="E27" s="3">
        <v>2.1085900000000001E-4</v>
      </c>
      <c r="F27" s="3">
        <v>2.0292800000000001E-4</v>
      </c>
      <c r="G27" s="3">
        <v>2.0246199999999999E-4</v>
      </c>
      <c r="H27" s="3">
        <v>2.0012900000000001E-4</v>
      </c>
      <c r="I27" s="3">
        <v>2.0432800000000001E-4</v>
      </c>
      <c r="J27" s="3">
        <v>2.0199500000000001E-4</v>
      </c>
      <c r="K27" s="3">
        <v>2.0152899999999999E-4</v>
      </c>
    </row>
    <row r="28" spans="1:11" x14ac:dyDescent="0.25">
      <c r="A28" t="s">
        <v>9</v>
      </c>
      <c r="B28" s="3">
        <v>3.6947E-4</v>
      </c>
      <c r="C28" s="3">
        <v>2.4631300000000001E-4</v>
      </c>
      <c r="D28" s="3">
        <v>2.5004600000000002E-4</v>
      </c>
      <c r="E28" s="3">
        <v>2.4677999999999999E-4</v>
      </c>
      <c r="F28" s="3">
        <v>2.3978199999999999E-4</v>
      </c>
      <c r="G28" s="3">
        <v>2.4444700000000001E-4</v>
      </c>
      <c r="H28" s="3">
        <v>2.4398099999999999E-4</v>
      </c>
      <c r="I28" s="3">
        <v>2.3978199999999999E-4</v>
      </c>
      <c r="J28" s="3">
        <v>2.4677999999999999E-4</v>
      </c>
      <c r="K28" s="3">
        <v>2.4538000000000001E-4</v>
      </c>
    </row>
    <row r="29" spans="1:11" x14ac:dyDescent="0.25">
      <c r="A29" t="s">
        <v>10</v>
      </c>
      <c r="B29" s="3">
        <v>2.9996100000000001E-4</v>
      </c>
      <c r="C29" s="3">
        <v>2.9156400000000002E-4</v>
      </c>
      <c r="D29" s="3">
        <v>2.8363299999999999E-4</v>
      </c>
      <c r="E29" s="3">
        <v>2.8176699999999999E-4</v>
      </c>
      <c r="F29" s="3">
        <v>2.9156400000000002E-4</v>
      </c>
      <c r="G29" s="3">
        <v>2.8223400000000002E-4</v>
      </c>
      <c r="H29" s="3">
        <v>2.8410000000000002E-4</v>
      </c>
      <c r="I29" s="3">
        <v>2.7710300000000001E-4</v>
      </c>
      <c r="J29" s="3">
        <v>2.7756900000000003E-4</v>
      </c>
      <c r="K29" s="3">
        <v>2.7710199999999999E-4</v>
      </c>
    </row>
    <row r="30" spans="1:11" x14ac:dyDescent="0.25">
      <c r="A30" t="s">
        <v>11</v>
      </c>
      <c r="B30" s="3">
        <v>5.1408599999999997E-4</v>
      </c>
      <c r="C30" s="3">
        <v>3.3028300000000001E-4</v>
      </c>
      <c r="D30" s="3">
        <v>3.13956E-4</v>
      </c>
      <c r="E30" s="3">
        <v>3.1209E-4</v>
      </c>
      <c r="F30" s="3">
        <v>3.13023E-4</v>
      </c>
      <c r="G30" s="3">
        <v>3.13023E-4</v>
      </c>
      <c r="H30" s="3">
        <v>3.1162300000000002E-4</v>
      </c>
      <c r="I30" s="3">
        <v>3.2888399999999999E-4</v>
      </c>
      <c r="J30" s="3">
        <v>3.2142E-4</v>
      </c>
      <c r="K30" s="3">
        <v>3.13023E-4</v>
      </c>
    </row>
    <row r="31" spans="1:11" x14ac:dyDescent="0.25">
      <c r="A31" t="s">
        <v>12</v>
      </c>
      <c r="B31" s="3">
        <v>3.72269E-4</v>
      </c>
      <c r="C31" s="3">
        <v>3.5034299999999998E-4</v>
      </c>
      <c r="D31" s="3">
        <v>3.4940999999999998E-4</v>
      </c>
      <c r="E31" s="3">
        <v>3.4847699999999998E-4</v>
      </c>
      <c r="F31" s="3">
        <v>3.5081000000000001E-4</v>
      </c>
      <c r="G31" s="3">
        <v>3.5034299999999998E-4</v>
      </c>
      <c r="H31" s="3">
        <v>3.4940999999999998E-4</v>
      </c>
      <c r="I31" s="3">
        <v>3.4940999999999998E-4</v>
      </c>
      <c r="J31" s="3">
        <v>3.5034299999999998E-4</v>
      </c>
      <c r="K31" s="3">
        <v>3.4940999999999998E-4</v>
      </c>
    </row>
    <row r="32" spans="1:11" x14ac:dyDescent="0.25">
      <c r="A32" t="s">
        <v>13</v>
      </c>
      <c r="B32" s="3">
        <v>4.1518700000000002E-4</v>
      </c>
      <c r="C32" s="3">
        <v>3.8533099999999999E-4</v>
      </c>
      <c r="D32" s="3">
        <v>3.8953000000000002E-4</v>
      </c>
      <c r="E32" s="3">
        <v>3.8626399999999999E-4</v>
      </c>
      <c r="F32" s="3">
        <v>3.8626399999999999E-4</v>
      </c>
      <c r="G32" s="3">
        <v>3.8486500000000002E-4</v>
      </c>
      <c r="H32" s="3">
        <v>3.8486400000000001E-4</v>
      </c>
      <c r="I32" s="3">
        <v>3.8626399999999999E-4</v>
      </c>
      <c r="J32" s="3">
        <v>3.8346400000000003E-4</v>
      </c>
      <c r="K32" s="3">
        <v>3.8533099999999999E-4</v>
      </c>
    </row>
    <row r="33" spans="1:11" x14ac:dyDescent="0.25">
      <c r="A33" t="s">
        <v>14</v>
      </c>
      <c r="B33" s="3">
        <v>4.5344E-4</v>
      </c>
      <c r="C33" s="3">
        <v>4.2778299999999999E-4</v>
      </c>
      <c r="D33" s="3">
        <v>4.2358400000000002E-4</v>
      </c>
      <c r="E33" s="3">
        <v>4.2358400000000002E-4</v>
      </c>
      <c r="F33" s="3">
        <v>4.2358400000000002E-4</v>
      </c>
      <c r="G33" s="3">
        <v>4.3058199999999999E-4</v>
      </c>
      <c r="H33" s="3">
        <v>4.24516E-4</v>
      </c>
      <c r="I33" s="3">
        <v>4.22185E-4</v>
      </c>
      <c r="J33" s="3">
        <v>4.3198100000000001E-4</v>
      </c>
      <c r="K33" s="3">
        <v>4.2498299999999998E-4</v>
      </c>
    </row>
    <row r="34" spans="1:11" x14ac:dyDescent="0.25">
      <c r="A34" t="s">
        <v>15</v>
      </c>
      <c r="B34" s="3">
        <v>4.8936100000000001E-4</v>
      </c>
      <c r="C34" s="3">
        <v>4.4924100000000002E-4</v>
      </c>
      <c r="D34" s="3">
        <v>4.41311E-4</v>
      </c>
      <c r="E34" s="3">
        <v>4.5017400000000002E-4</v>
      </c>
      <c r="F34" s="3">
        <v>4.5810600000000001E-4</v>
      </c>
      <c r="G34" s="3">
        <v>4.5997200000000001E-4</v>
      </c>
      <c r="H34" s="3">
        <v>4.4550900000000002E-4</v>
      </c>
      <c r="I34" s="3">
        <v>4.2731600000000001E-4</v>
      </c>
      <c r="J34" s="3">
        <v>4.6230300000000001E-4</v>
      </c>
      <c r="K34" s="3">
        <v>4.6043700000000001E-4</v>
      </c>
    </row>
    <row r="35" spans="1:11" x14ac:dyDescent="0.25">
      <c r="A35" t="s">
        <v>16</v>
      </c>
      <c r="B35" s="3">
        <v>5.26214E-4</v>
      </c>
      <c r="C35" s="3">
        <v>5.0102399999999998E-4</v>
      </c>
      <c r="D35" s="3">
        <v>5.0475499999999996E-4</v>
      </c>
      <c r="E35" s="3">
        <v>5.0568800000000001E-4</v>
      </c>
      <c r="F35" s="3">
        <v>5.2341499999999995E-4</v>
      </c>
      <c r="G35" s="3">
        <v>5.1221899999999996E-4</v>
      </c>
      <c r="H35" s="3">
        <v>5.0662099999999996E-4</v>
      </c>
      <c r="I35" s="3">
        <v>5.0009000000000002E-4</v>
      </c>
      <c r="J35" s="3">
        <v>5.0568900000000003E-4</v>
      </c>
      <c r="K35" s="3">
        <v>4.9775799999999995E-4</v>
      </c>
    </row>
    <row r="36" spans="1:11" x14ac:dyDescent="0.25">
      <c r="A36" t="s">
        <v>17</v>
      </c>
      <c r="B36" s="3">
        <v>5.5980299999999999E-4</v>
      </c>
      <c r="C36" s="3">
        <v>5.3881000000000003E-4</v>
      </c>
      <c r="D36" s="3">
        <v>5.5327200000000005E-4</v>
      </c>
      <c r="E36" s="3">
        <v>5.4394199999999995E-4</v>
      </c>
      <c r="F36" s="3">
        <v>5.6306800000000001E-4</v>
      </c>
      <c r="G36" s="3">
        <v>5.4440800000000002E-4</v>
      </c>
      <c r="H36" s="3">
        <v>5.4020999999999995E-4</v>
      </c>
      <c r="I36" s="3">
        <v>5.3601099999999997E-4</v>
      </c>
      <c r="J36" s="3">
        <v>5.3507800000000003E-4</v>
      </c>
      <c r="K36" s="3">
        <v>5.3367900000000001E-4</v>
      </c>
    </row>
    <row r="37" spans="1:11" x14ac:dyDescent="0.25">
      <c r="A37" t="s">
        <v>18</v>
      </c>
      <c r="B37" s="3">
        <v>5.9105900000000001E-4</v>
      </c>
      <c r="C37" s="3">
        <v>5.7193200000000004E-4</v>
      </c>
      <c r="D37" s="3">
        <v>6.2371300000000002E-4</v>
      </c>
      <c r="E37" s="3">
        <v>5.8872500000000001E-4</v>
      </c>
      <c r="F37" s="3">
        <v>5.7426500000000002E-4</v>
      </c>
      <c r="G37" s="3">
        <v>5.6866600000000001E-4</v>
      </c>
      <c r="H37" s="3">
        <v>5.6213499999999996E-4</v>
      </c>
      <c r="I37" s="3">
        <v>5.8126200000000003E-4</v>
      </c>
      <c r="J37" s="3">
        <v>5.7006600000000004E-4</v>
      </c>
      <c r="K37" s="3">
        <v>5.7379800000000004E-4</v>
      </c>
    </row>
    <row r="38" spans="1:11" x14ac:dyDescent="0.25">
      <c r="A38" t="s">
        <v>19</v>
      </c>
      <c r="B38" s="3">
        <v>6.4890399999999995E-4</v>
      </c>
      <c r="C38" s="3">
        <v>6.1251800000000005E-4</v>
      </c>
      <c r="D38" s="3">
        <v>6.1065100000000003E-4</v>
      </c>
      <c r="E38" s="3">
        <v>6.0691900000000003E-4</v>
      </c>
      <c r="F38" s="3">
        <v>6.3304400000000003E-4</v>
      </c>
      <c r="G38" s="3">
        <v>6.1811500000000003E-4</v>
      </c>
      <c r="H38" s="3">
        <v>7.2167900000000003E-4</v>
      </c>
      <c r="I38" s="3">
        <v>6.2931100000000002E-4</v>
      </c>
      <c r="J38" s="3">
        <v>6.2184700000000002E-4</v>
      </c>
      <c r="K38" s="3">
        <v>6.7502800000000004E-4</v>
      </c>
    </row>
    <row r="39" spans="1:11" x14ac:dyDescent="0.25">
      <c r="A39" t="s">
        <v>20</v>
      </c>
      <c r="B39" s="3">
        <v>7.0395199999999998E-4</v>
      </c>
      <c r="C39" s="3">
        <v>6.6336599999999998E-4</v>
      </c>
      <c r="D39" s="3">
        <v>6.4797100000000001E-4</v>
      </c>
      <c r="E39" s="3">
        <v>6.3677500000000001E-4</v>
      </c>
      <c r="F39" s="3">
        <v>6.3677600000000003E-4</v>
      </c>
      <c r="G39" s="3">
        <v>6.3490900000000002E-4</v>
      </c>
      <c r="H39" s="3">
        <v>6.3397599999999996E-4</v>
      </c>
      <c r="I39" s="3">
        <v>6.3304400000000003E-4</v>
      </c>
      <c r="J39" s="3">
        <v>6.3864200000000003E-4</v>
      </c>
      <c r="K39" s="3">
        <v>6.31644E-4</v>
      </c>
    </row>
    <row r="40" spans="1:11" x14ac:dyDescent="0.25">
      <c r="A40" t="s">
        <v>21</v>
      </c>
      <c r="B40" s="3">
        <v>6.9088999999999999E-4</v>
      </c>
      <c r="C40" s="3">
        <v>6.7409499999999999E-4</v>
      </c>
      <c r="D40" s="3">
        <v>6.7036400000000001E-4</v>
      </c>
      <c r="E40" s="3">
        <v>6.6803100000000003E-4</v>
      </c>
      <c r="F40" s="3">
        <v>6.6616500000000003E-4</v>
      </c>
      <c r="G40" s="3">
        <v>7.3940599999999996E-4</v>
      </c>
      <c r="H40" s="3">
        <v>6.6943099999999995E-4</v>
      </c>
      <c r="I40" s="3">
        <v>6.6476600000000001E-4</v>
      </c>
      <c r="J40" s="3">
        <v>6.2418E-4</v>
      </c>
      <c r="K40" s="3">
        <v>6.6803100000000003E-4</v>
      </c>
    </row>
    <row r="41" spans="1:11" x14ac:dyDescent="0.25">
      <c r="A41" t="s">
        <v>22</v>
      </c>
      <c r="B41" s="3">
        <v>7.2914300000000002E-4</v>
      </c>
      <c r="C41" s="3">
        <v>7.0814999999999995E-4</v>
      </c>
      <c r="D41" s="3">
        <v>7.05351E-4</v>
      </c>
      <c r="E41" s="3">
        <v>7.0954999999999998E-4</v>
      </c>
      <c r="F41" s="3">
        <v>6.6149999999999998E-4</v>
      </c>
      <c r="G41" s="3">
        <v>6.59167E-4</v>
      </c>
      <c r="H41" s="3">
        <v>6.6336599999999998E-4</v>
      </c>
      <c r="I41" s="3">
        <v>6.6103400000000001E-4</v>
      </c>
      <c r="J41" s="3">
        <v>6.5730200000000002E-4</v>
      </c>
      <c r="K41" s="3">
        <v>6.6523199999999998E-4</v>
      </c>
    </row>
    <row r="42" spans="1:11" x14ac:dyDescent="0.25">
      <c r="A42" t="s">
        <v>23</v>
      </c>
      <c r="B42" s="3">
        <v>7.6553000000000005E-4</v>
      </c>
      <c r="C42" s="3">
        <v>7.4547100000000005E-4</v>
      </c>
      <c r="D42" s="3">
        <v>7.4173900000000005E-4</v>
      </c>
      <c r="E42" s="3">
        <v>7.4220500000000001E-4</v>
      </c>
      <c r="F42" s="3">
        <v>8.9335100000000002E-4</v>
      </c>
      <c r="G42" s="3">
        <v>7.5759899999999997E-4</v>
      </c>
      <c r="H42" s="3">
        <v>7.4267099999999998E-4</v>
      </c>
      <c r="I42" s="3">
        <v>7.5293400000000003E-4</v>
      </c>
      <c r="J42" s="3">
        <v>7.4080499999999998E-4</v>
      </c>
      <c r="K42" s="3">
        <v>7.4453799999999999E-4</v>
      </c>
    </row>
    <row r="43" spans="1:11" x14ac:dyDescent="0.25">
      <c r="A43" t="s">
        <v>24</v>
      </c>
      <c r="B43" s="3">
        <v>8.0098400000000003E-4</v>
      </c>
      <c r="C43" s="3">
        <v>7.8279E-4</v>
      </c>
      <c r="D43" s="3">
        <v>7.4966900000000001E-4</v>
      </c>
      <c r="E43" s="3">
        <v>7.3287500000000002E-4</v>
      </c>
      <c r="F43" s="3">
        <v>7.2867699999999995E-4</v>
      </c>
      <c r="G43" s="3">
        <v>7.3287500000000002E-4</v>
      </c>
      <c r="H43" s="3">
        <v>7.2681000000000004E-4</v>
      </c>
      <c r="I43" s="3">
        <v>8.14513E-4</v>
      </c>
      <c r="J43" s="3">
        <v>7.8185699999999995E-4</v>
      </c>
      <c r="K43" s="3">
        <v>7.8698899999999998E-4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3" workbookViewId="0">
      <selection activeCell="A2" sqref="A2:A29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1" bestFit="1" customWidth="1"/>
    <col min="4" max="7" width="12" bestFit="1" customWidth="1"/>
    <col min="8" max="8" width="8.28515625" bestFit="1" customWidth="1"/>
    <col min="9" max="11" width="12" bestFit="1" customWidth="1"/>
  </cols>
  <sheetData>
    <row r="1" spans="1:11" x14ac:dyDescent="0.25">
      <c r="A1" t="s">
        <v>4</v>
      </c>
    </row>
    <row r="2" spans="1:11" x14ac:dyDescent="0.25">
      <c r="A2" t="s">
        <v>5</v>
      </c>
      <c r="B2" s="3">
        <v>2.2672E-4</v>
      </c>
      <c r="C2" s="3">
        <v>1.9499799999999999E-4</v>
      </c>
      <c r="D2" s="3">
        <v>1.9453100000000001E-4</v>
      </c>
      <c r="E2" s="3">
        <v>2.0526100000000001E-4</v>
      </c>
      <c r="F2" s="3">
        <v>1.9499799999999999E-4</v>
      </c>
      <c r="G2" s="3">
        <v>2.0526100000000001E-4</v>
      </c>
      <c r="H2" s="3">
        <v>2.0152899999999999E-4</v>
      </c>
      <c r="I2" s="3">
        <v>1.9453100000000001E-4</v>
      </c>
      <c r="J2" s="3">
        <v>1.9359800000000001E-4</v>
      </c>
      <c r="K2" s="3">
        <v>1.94532E-4</v>
      </c>
    </row>
    <row r="3" spans="1:11" x14ac:dyDescent="0.25">
      <c r="A3" t="s">
        <v>6</v>
      </c>
      <c r="B3" s="3">
        <v>2.3884899999999999E-4</v>
      </c>
      <c r="C3" s="3">
        <v>2.2718599999999999E-4</v>
      </c>
      <c r="D3" s="3">
        <v>2.1972300000000001E-4</v>
      </c>
      <c r="E3" s="3">
        <v>2.20189E-4</v>
      </c>
      <c r="F3" s="3">
        <v>2.1039299999999999E-4</v>
      </c>
      <c r="G3" s="3">
        <v>2.1879000000000001E-4</v>
      </c>
      <c r="H3" s="3">
        <v>2.1412499999999999E-4</v>
      </c>
      <c r="I3" s="3">
        <v>2.1972300000000001E-4</v>
      </c>
      <c r="J3" s="3">
        <v>1.9733000000000001E-4</v>
      </c>
      <c r="K3" s="3">
        <v>1.9593099999999999E-4</v>
      </c>
    </row>
    <row r="4" spans="1:11" x14ac:dyDescent="0.25">
      <c r="A4" t="s">
        <v>7</v>
      </c>
      <c r="B4" s="3">
        <v>1.6234299999999999E-4</v>
      </c>
      <c r="C4" s="3">
        <v>1.4321599999999999E-4</v>
      </c>
      <c r="D4" s="3">
        <v>1.3341899999999999E-4</v>
      </c>
      <c r="E4" s="3">
        <v>1.34819E-4</v>
      </c>
      <c r="F4" s="3">
        <v>1.25489E-4</v>
      </c>
      <c r="G4" s="3">
        <v>1.2502300000000001E-4</v>
      </c>
      <c r="H4" s="3">
        <v>1.2409000000000001E-4</v>
      </c>
      <c r="I4" s="3">
        <v>1.27355E-4</v>
      </c>
      <c r="J4" s="3">
        <v>1.5114600000000001E-4</v>
      </c>
      <c r="K4" s="3">
        <v>1.46482E-4</v>
      </c>
    </row>
    <row r="5" spans="1:11" x14ac:dyDescent="0.25">
      <c r="A5" t="s">
        <v>8</v>
      </c>
      <c r="B5" s="3">
        <v>2.9343000000000001E-4</v>
      </c>
      <c r="C5" s="3">
        <v>2.6077499999999998E-4</v>
      </c>
      <c r="D5" s="3">
        <v>2.8549899999999998E-4</v>
      </c>
      <c r="E5" s="3">
        <v>2.6310800000000002E-4</v>
      </c>
      <c r="F5" s="3">
        <v>2.5237799999999999E-4</v>
      </c>
      <c r="G5" s="3">
        <v>2.6450699999999998E-4</v>
      </c>
      <c r="H5" s="3">
        <v>2.60308E-4</v>
      </c>
      <c r="I5" s="3">
        <v>2.5237799999999999E-4</v>
      </c>
      <c r="J5" s="3">
        <v>2.5564300000000001E-4</v>
      </c>
      <c r="K5" s="3">
        <v>2.3465000000000001E-4</v>
      </c>
    </row>
    <row r="6" spans="1:11" x14ac:dyDescent="0.25">
      <c r="A6" t="s">
        <v>9</v>
      </c>
      <c r="B6" s="3">
        <v>1.97796E-4</v>
      </c>
      <c r="C6" s="3">
        <v>1.6700800000000001E-4</v>
      </c>
      <c r="D6" s="3">
        <v>1.6280900000000001E-4</v>
      </c>
      <c r="E6" s="3">
        <v>1.53945E-4</v>
      </c>
      <c r="F6" s="3">
        <v>1.5254600000000001E-4</v>
      </c>
      <c r="G6" s="3">
        <v>1.9359800000000001E-4</v>
      </c>
      <c r="H6" s="3">
        <v>1.8240199999999999E-4</v>
      </c>
      <c r="I6" s="3">
        <v>1.7353900000000001E-4</v>
      </c>
      <c r="J6" s="3">
        <v>1.6327599999999999E-4</v>
      </c>
      <c r="K6" s="3">
        <v>1.6094300000000001E-4</v>
      </c>
    </row>
    <row r="7" spans="1:11" x14ac:dyDescent="0.25">
      <c r="A7" t="s">
        <v>10</v>
      </c>
      <c r="B7" s="3">
        <v>1.3948399999999999E-4</v>
      </c>
      <c r="C7" s="3">
        <v>1.06829E-4</v>
      </c>
      <c r="D7" s="3">
        <v>1.05429E-4</v>
      </c>
      <c r="E7" s="3">
        <v>9.7966000000000004E-5</v>
      </c>
      <c r="F7" s="3">
        <v>9.5631999999999995E-5</v>
      </c>
      <c r="G7" s="3">
        <v>9.5632999999999997E-5</v>
      </c>
      <c r="H7" s="3">
        <v>9.5632999999999997E-5</v>
      </c>
      <c r="I7" s="3">
        <v>1.0123099999999999E-4</v>
      </c>
      <c r="J7" s="3">
        <v>9.6099000000000003E-5</v>
      </c>
      <c r="K7" s="3">
        <v>1.07762E-4</v>
      </c>
    </row>
    <row r="8" spans="1:11" x14ac:dyDescent="0.25">
      <c r="A8" t="s">
        <v>11</v>
      </c>
      <c r="B8" s="3">
        <v>2.6637299999999998E-4</v>
      </c>
      <c r="C8" s="3">
        <v>2.3278400000000001E-4</v>
      </c>
      <c r="D8" s="3">
        <v>2.29519E-4</v>
      </c>
      <c r="E8" s="3">
        <v>2.12258E-4</v>
      </c>
      <c r="F8" s="3">
        <v>2.4258099999999999E-4</v>
      </c>
      <c r="G8" s="3">
        <v>2.3138499999999999E-4</v>
      </c>
      <c r="H8" s="3">
        <v>2.1085900000000001E-4</v>
      </c>
      <c r="I8" s="3">
        <v>2.1785700000000001E-4</v>
      </c>
      <c r="J8" s="3">
        <v>2.1412499999999999E-4</v>
      </c>
      <c r="K8" s="3">
        <v>2.13191E-4</v>
      </c>
    </row>
    <row r="9" spans="1:11" x14ac:dyDescent="0.25">
      <c r="A9" t="s">
        <v>12</v>
      </c>
      <c r="B9" s="3">
        <v>1.56744E-4</v>
      </c>
      <c r="C9" s="3">
        <v>1.3202E-4</v>
      </c>
      <c r="D9" s="3">
        <v>1.2782200000000001E-4</v>
      </c>
      <c r="E9" s="3">
        <v>1.21291E-4</v>
      </c>
      <c r="F9" s="3">
        <v>1.2875399999999999E-4</v>
      </c>
      <c r="G9" s="3">
        <v>1.28288E-4</v>
      </c>
      <c r="H9" s="3">
        <v>1.28288E-4</v>
      </c>
      <c r="I9" s="3">
        <v>1.35752E-4</v>
      </c>
      <c r="J9" s="3">
        <v>1.2362300000000001E-4</v>
      </c>
      <c r="K9" s="3">
        <v>1.2642299999999999E-4</v>
      </c>
    </row>
    <row r="10" spans="1:11" x14ac:dyDescent="0.25">
      <c r="A10" t="s">
        <v>13</v>
      </c>
      <c r="B10" s="3">
        <v>2.7803499999999999E-4</v>
      </c>
      <c r="C10" s="3">
        <v>2.4538000000000001E-4</v>
      </c>
      <c r="D10" s="3">
        <v>2.3371700000000001E-4</v>
      </c>
      <c r="E10" s="3">
        <v>2.3138499999999999E-4</v>
      </c>
      <c r="F10" s="3">
        <v>2.3511699999999999E-4</v>
      </c>
      <c r="G10" s="3">
        <v>2.5237799999999999E-4</v>
      </c>
      <c r="H10" s="3">
        <v>2.5237700000000003E-4</v>
      </c>
      <c r="I10" s="3">
        <v>2.4911200000000001E-4</v>
      </c>
      <c r="J10" s="3">
        <v>2.4817900000000001E-4</v>
      </c>
      <c r="K10" s="3">
        <v>2.5144499999999999E-4</v>
      </c>
    </row>
    <row r="11" spans="1:11" x14ac:dyDescent="0.25">
      <c r="A11" t="s">
        <v>14</v>
      </c>
      <c r="B11" s="3">
        <v>2.8223400000000002E-4</v>
      </c>
      <c r="C11" s="3">
        <v>2.8269999999999999E-4</v>
      </c>
      <c r="D11" s="3">
        <v>2.6730599999999998E-4</v>
      </c>
      <c r="E11" s="3">
        <v>2.5517699999999999E-4</v>
      </c>
      <c r="F11" s="3">
        <v>2.58442E-4</v>
      </c>
      <c r="G11" s="3">
        <v>2.5704200000000002E-4</v>
      </c>
      <c r="H11" s="3">
        <v>2.5564400000000002E-4</v>
      </c>
      <c r="I11" s="3">
        <v>2.5517699999999999E-4</v>
      </c>
      <c r="J11" s="3">
        <v>2.5610900000000002E-4</v>
      </c>
      <c r="K11" s="3">
        <v>2.5471000000000001E-4</v>
      </c>
    </row>
    <row r="12" spans="1:11" x14ac:dyDescent="0.25">
      <c r="A12" t="s">
        <v>15</v>
      </c>
      <c r="B12" s="3">
        <v>4.43177E-4</v>
      </c>
      <c r="C12" s="3">
        <v>4.0772300000000003E-4</v>
      </c>
      <c r="D12" s="3">
        <v>4.0632299999999999E-4</v>
      </c>
      <c r="E12" s="3">
        <v>3.8206500000000001E-4</v>
      </c>
      <c r="F12" s="3">
        <v>3.7833300000000001E-4</v>
      </c>
      <c r="G12" s="3">
        <v>4.0212400000000001E-4</v>
      </c>
      <c r="H12" s="3">
        <v>4.16119E-4</v>
      </c>
      <c r="I12" s="3">
        <v>4.0585699999999997E-4</v>
      </c>
      <c r="J12" s="3">
        <v>4.0305799999999998E-4</v>
      </c>
      <c r="K12" s="3">
        <v>3.8113300000000003E-4</v>
      </c>
    </row>
    <row r="13" spans="1:11" x14ac:dyDescent="0.25">
      <c r="A13" t="s">
        <v>16</v>
      </c>
      <c r="B13" s="3">
        <v>4.4084400000000002E-4</v>
      </c>
      <c r="C13" s="3">
        <v>4.14721E-4</v>
      </c>
      <c r="D13" s="3">
        <v>4.1612000000000002E-4</v>
      </c>
      <c r="E13" s="3">
        <v>4.0912199999999999E-4</v>
      </c>
      <c r="F13" s="3">
        <v>4.1332100000000002E-4</v>
      </c>
      <c r="G13" s="3">
        <v>4.0165900000000001E-4</v>
      </c>
      <c r="H13" s="3">
        <v>4.14721E-4</v>
      </c>
      <c r="I13">
        <v>1.350991E-3</v>
      </c>
      <c r="J13" s="3">
        <v>4.3757900000000001E-4</v>
      </c>
      <c r="K13" s="3">
        <v>4.1518700000000002E-4</v>
      </c>
    </row>
    <row r="14" spans="1:11" x14ac:dyDescent="0.25">
      <c r="A14" t="s">
        <v>17</v>
      </c>
      <c r="B14" s="3">
        <v>3.7879999999999999E-4</v>
      </c>
      <c r="C14" s="3">
        <v>3.8299800000000001E-4</v>
      </c>
      <c r="D14" s="3">
        <v>3.6900300000000002E-4</v>
      </c>
      <c r="E14" s="3">
        <v>3.6807000000000002E-4</v>
      </c>
      <c r="F14" s="3">
        <v>3.5780700000000003E-4</v>
      </c>
      <c r="G14" s="3">
        <v>3.8393100000000001E-4</v>
      </c>
      <c r="H14" s="3">
        <v>3.7599999999999998E-4</v>
      </c>
      <c r="I14" s="3">
        <v>3.5920599999999999E-4</v>
      </c>
      <c r="J14" s="3">
        <v>3.64805E-4</v>
      </c>
      <c r="K14" s="3">
        <v>3.4241300000000002E-4</v>
      </c>
    </row>
    <row r="15" spans="1:11" x14ac:dyDescent="0.25">
      <c r="A15" t="s">
        <v>18</v>
      </c>
      <c r="B15" s="3">
        <v>5.0942100000000003E-4</v>
      </c>
      <c r="C15" s="3">
        <v>4.7256700000000002E-4</v>
      </c>
      <c r="D15" s="3">
        <v>4.7583199999999998E-4</v>
      </c>
      <c r="E15" s="3">
        <v>4.50641E-4</v>
      </c>
      <c r="F15" s="3">
        <v>4.3804599999999999E-4</v>
      </c>
      <c r="G15" s="3">
        <v>4.3524699999999999E-4</v>
      </c>
      <c r="H15" s="3">
        <v>4.3431399999999999E-4</v>
      </c>
      <c r="I15" s="3">
        <v>4.40378E-4</v>
      </c>
      <c r="J15" s="3">
        <v>4.3664600000000001E-4</v>
      </c>
      <c r="K15" s="3">
        <v>4.9729099999999997E-4</v>
      </c>
    </row>
    <row r="16" spans="1:11" x14ac:dyDescent="0.25">
      <c r="A16" t="s">
        <v>19</v>
      </c>
      <c r="B16" s="3">
        <v>3.6340500000000002E-4</v>
      </c>
      <c r="C16" s="3">
        <v>3.37282E-4</v>
      </c>
      <c r="D16" s="3">
        <v>3.3308200000000001E-4</v>
      </c>
      <c r="E16" s="3">
        <v>3.0742399999999999E-4</v>
      </c>
      <c r="F16" s="3">
        <v>3.0649200000000001E-4</v>
      </c>
      <c r="G16" s="3">
        <v>3.4801100000000001E-4</v>
      </c>
      <c r="H16" s="3">
        <v>3.2981699999999999E-4</v>
      </c>
      <c r="I16" s="3">
        <v>3.0789199999999999E-4</v>
      </c>
      <c r="J16" s="3">
        <v>3.1628899999999998E-4</v>
      </c>
      <c r="K16" s="3">
        <v>3.0695800000000002E-4</v>
      </c>
    </row>
    <row r="17" spans="1:11" x14ac:dyDescent="0.25">
      <c r="A17" t="s">
        <v>20</v>
      </c>
      <c r="B17" s="3">
        <v>3.8673100000000002E-4</v>
      </c>
      <c r="C17" s="3">
        <v>3.6527199999999998E-4</v>
      </c>
      <c r="D17" s="3">
        <v>3.5454200000000001E-4</v>
      </c>
      <c r="E17" s="3">
        <v>3.4474499999999998E-4</v>
      </c>
      <c r="F17" s="3">
        <v>3.4614500000000001E-4</v>
      </c>
      <c r="G17" s="3">
        <v>3.4474499999999998E-4</v>
      </c>
      <c r="H17" s="3">
        <v>3.4707800000000001E-4</v>
      </c>
      <c r="I17" s="3">
        <v>3.48943E-4</v>
      </c>
      <c r="J17" s="3">
        <v>3.4474499999999998E-4</v>
      </c>
      <c r="K17" s="3">
        <v>3.5127599999999998E-4</v>
      </c>
    </row>
    <row r="18" spans="1:11" x14ac:dyDescent="0.25">
      <c r="A18" t="s">
        <v>21</v>
      </c>
      <c r="B18" s="3">
        <v>5.4347399999999995E-4</v>
      </c>
      <c r="C18" s="3">
        <v>5.1408499999999995E-4</v>
      </c>
      <c r="D18" s="3">
        <v>5.1968399999999997E-4</v>
      </c>
      <c r="E18" s="3">
        <v>5.0942000000000001E-4</v>
      </c>
      <c r="F18" s="3">
        <v>5.0195600000000002E-4</v>
      </c>
      <c r="G18" s="3">
        <v>4.7396599999999998E-4</v>
      </c>
      <c r="H18" s="3">
        <v>4.7116699999999998E-4</v>
      </c>
      <c r="I18" s="3">
        <v>4.8422899999999997E-4</v>
      </c>
      <c r="J18" s="3">
        <v>4.7303299999999998E-4</v>
      </c>
      <c r="K18" s="3">
        <v>4.67901E-4</v>
      </c>
    </row>
    <row r="19" spans="1:11" x14ac:dyDescent="0.25">
      <c r="A19" t="s">
        <v>22</v>
      </c>
      <c r="B19" s="3">
        <v>4.3757900000000001E-4</v>
      </c>
      <c r="C19" s="3">
        <v>4.0305700000000001E-4</v>
      </c>
      <c r="D19" s="3">
        <v>4.01658E-4</v>
      </c>
      <c r="E19" s="3">
        <v>4.0632299999999999E-4</v>
      </c>
      <c r="F19" s="3">
        <v>3.8439700000000003E-4</v>
      </c>
      <c r="G19" s="3">
        <v>3.7273500000000002E-4</v>
      </c>
      <c r="H19" s="3">
        <v>3.73202E-4</v>
      </c>
      <c r="I19" s="3">
        <v>3.68537E-4</v>
      </c>
      <c r="J19" s="3">
        <v>3.66671E-4</v>
      </c>
      <c r="K19" s="3">
        <v>3.71336E-4</v>
      </c>
    </row>
    <row r="20" spans="1:11" x14ac:dyDescent="0.25">
      <c r="A20" t="s">
        <v>23</v>
      </c>
      <c r="B20" s="3">
        <v>4.3384999999999999E-5</v>
      </c>
      <c r="C20" s="3">
        <v>2.6123999999999999E-5</v>
      </c>
      <c r="D20" s="3">
        <v>4.4317999999999998E-5</v>
      </c>
      <c r="E20" s="3">
        <v>3.8253000000000001E-5</v>
      </c>
      <c r="F20" s="3">
        <v>3.5454000000000003E-5</v>
      </c>
      <c r="G20" s="3">
        <v>3.3121999999999999E-5</v>
      </c>
      <c r="H20" s="3">
        <v>3.0788999999999999E-5</v>
      </c>
      <c r="I20" s="3">
        <v>3.3121999999999999E-5</v>
      </c>
      <c r="J20" s="3">
        <v>3.3587999999999998E-5</v>
      </c>
      <c r="K20" s="3">
        <v>3.1256E-5</v>
      </c>
    </row>
    <row r="21" spans="1:11" x14ac:dyDescent="0.25">
      <c r="A21" t="s">
        <v>24</v>
      </c>
      <c r="B21" s="3">
        <v>5.6633300000000003E-4</v>
      </c>
      <c r="C21" s="3">
        <v>5.3554500000000001E-4</v>
      </c>
      <c r="D21" s="3">
        <v>5.7939500000000002E-4</v>
      </c>
      <c r="E21" s="3">
        <v>5.5420399999999998E-4</v>
      </c>
      <c r="F21" s="3">
        <v>5.3274599999999996E-4</v>
      </c>
      <c r="G21" s="3">
        <v>5.3647799999999995E-4</v>
      </c>
      <c r="H21" s="3">
        <v>5.3461100000000005E-4</v>
      </c>
      <c r="I21" s="3">
        <v>5.3414499999999998E-4</v>
      </c>
      <c r="J21" s="3">
        <v>5.3414499999999998E-4</v>
      </c>
      <c r="K21" s="3">
        <v>6.0738600000000002E-4</v>
      </c>
    </row>
    <row r="22" spans="1:11" x14ac:dyDescent="0.25">
      <c r="A22" t="s">
        <v>25</v>
      </c>
      <c r="B22" s="3">
        <v>5.1175299999999999E-4</v>
      </c>
      <c r="C22" s="3">
        <v>4.7863199999999999E-4</v>
      </c>
      <c r="D22" s="3">
        <v>4.5297399999999998E-4</v>
      </c>
      <c r="E22" s="3">
        <v>4.4084499999999998E-4</v>
      </c>
      <c r="F22" s="3">
        <v>4.7863099999999998E-4</v>
      </c>
      <c r="G22" s="3">
        <v>4.69767E-4</v>
      </c>
      <c r="H22" s="3">
        <v>4.3897899999999999E-4</v>
      </c>
      <c r="I22" s="3">
        <v>4.45976E-4</v>
      </c>
      <c r="J22" s="3">
        <v>4.4084400000000002E-4</v>
      </c>
      <c r="K22" s="3">
        <v>4.50641E-4</v>
      </c>
    </row>
    <row r="23" spans="1:11" x14ac:dyDescent="0.25">
      <c r="A23" t="s">
        <v>26</v>
      </c>
      <c r="B23" s="3">
        <v>7.9771799999999999E-4</v>
      </c>
      <c r="C23" s="3">
        <v>7.8232400000000004E-4</v>
      </c>
      <c r="D23" s="3">
        <v>7.9865100000000005E-4</v>
      </c>
      <c r="E23" s="3">
        <v>7.8139099999999999E-4</v>
      </c>
      <c r="F23" s="3">
        <v>7.3427400000000004E-4</v>
      </c>
      <c r="G23" s="3">
        <v>7.2634399999999997E-4</v>
      </c>
      <c r="H23" s="3">
        <v>7.27744E-4</v>
      </c>
      <c r="I23" s="3">
        <v>7.2867600000000004E-4</v>
      </c>
      <c r="J23" s="3">
        <v>7.2774299999999999E-4</v>
      </c>
      <c r="K23" s="3">
        <v>7.6413000000000002E-4</v>
      </c>
    </row>
    <row r="24" spans="1:11" x14ac:dyDescent="0.25">
      <c r="A24" t="s">
        <v>27</v>
      </c>
      <c r="B24" s="3">
        <v>9.1294399999999995E-4</v>
      </c>
      <c r="C24" s="3">
        <v>8.8355499999999995E-4</v>
      </c>
      <c r="D24" s="3">
        <v>8.2430999999999997E-4</v>
      </c>
      <c r="E24" s="3">
        <v>8.2244299999999996E-4</v>
      </c>
      <c r="F24" s="3">
        <v>8.2570799999999998E-4</v>
      </c>
      <c r="G24" s="3">
        <v>8.1917800000000005E-4</v>
      </c>
      <c r="H24" s="3">
        <v>8.2197699999999999E-4</v>
      </c>
      <c r="I24" s="3">
        <v>8.2430899999999996E-4</v>
      </c>
      <c r="J24" s="3">
        <v>8.93818E-4</v>
      </c>
      <c r="K24" s="3">
        <v>8.8122299999999999E-4</v>
      </c>
    </row>
    <row r="25" spans="1:11" x14ac:dyDescent="0.25">
      <c r="A25" t="s">
        <v>28</v>
      </c>
      <c r="B25" s="3">
        <v>7.1608100000000003E-4</v>
      </c>
      <c r="C25" s="3">
        <v>6.9742100000000004E-4</v>
      </c>
      <c r="D25" s="3">
        <v>6.8435900000000005E-4</v>
      </c>
      <c r="E25" s="3">
        <v>6.51703E-4</v>
      </c>
      <c r="F25" s="3">
        <v>6.4750500000000004E-4</v>
      </c>
      <c r="G25" s="3">
        <v>6.4797200000000002E-4</v>
      </c>
      <c r="H25" s="3">
        <v>6.4423900000000001E-4</v>
      </c>
      <c r="I25" s="3">
        <v>6.5216999999999998E-4</v>
      </c>
      <c r="J25" s="3">
        <v>6.4843799999999999E-4</v>
      </c>
      <c r="K25" s="3">
        <v>6.8762399999999996E-4</v>
      </c>
    </row>
    <row r="26" spans="1:11" x14ac:dyDescent="0.25">
      <c r="A26" t="s">
        <v>29</v>
      </c>
      <c r="B26" s="3">
        <v>7.7346100000000003E-4</v>
      </c>
      <c r="C26" s="3">
        <v>7.3240800000000004E-4</v>
      </c>
      <c r="D26" s="3">
        <v>7.1794600000000001E-4</v>
      </c>
      <c r="E26" s="3">
        <v>6.7642799999999997E-4</v>
      </c>
      <c r="F26" s="3">
        <v>6.7456199999999997E-4</v>
      </c>
      <c r="G26" s="3">
        <v>7.0441799999999995E-4</v>
      </c>
      <c r="H26" s="3">
        <v>7.3147499999999999E-4</v>
      </c>
      <c r="I26" s="3">
        <v>6.7782699999999999E-4</v>
      </c>
      <c r="J26" s="3">
        <v>6.85292E-4</v>
      </c>
      <c r="K26" s="3">
        <v>6.7269599999999997E-4</v>
      </c>
    </row>
    <row r="27" spans="1:11" x14ac:dyDescent="0.25">
      <c r="A27" t="s">
        <v>30</v>
      </c>
      <c r="B27" s="3">
        <v>9.2787200000000005E-4</v>
      </c>
      <c r="C27" s="3">
        <v>8.6396200000000002E-4</v>
      </c>
      <c r="D27" s="3">
        <v>8.5509799999999999E-4</v>
      </c>
      <c r="E27" s="3">
        <v>9.0314799999999999E-4</v>
      </c>
      <c r="F27" s="3">
        <v>8.45768E-4</v>
      </c>
      <c r="G27" s="3">
        <v>8.7235899999999996E-4</v>
      </c>
      <c r="H27" s="3">
        <v>8.4296999999999996E-4</v>
      </c>
      <c r="I27" s="3">
        <v>7.7905800000000001E-4</v>
      </c>
      <c r="J27" s="3">
        <v>8.47634E-4</v>
      </c>
      <c r="K27" s="3">
        <v>8.3923699999999995E-4</v>
      </c>
    </row>
    <row r="28" spans="1:11" x14ac:dyDescent="0.25">
      <c r="A28" t="s">
        <v>31</v>
      </c>
      <c r="B28" s="3">
        <v>9.8152099999999996E-4</v>
      </c>
      <c r="C28" s="3">
        <v>9.3486999999999997E-4</v>
      </c>
      <c r="D28" s="3">
        <v>9.3300399999999997E-4</v>
      </c>
      <c r="E28" s="3">
        <v>9.3673699999999999E-4</v>
      </c>
      <c r="F28" s="3">
        <v>9.2740599999999998E-4</v>
      </c>
      <c r="G28" s="3">
        <v>8.9101899999999995E-4</v>
      </c>
      <c r="H28" s="3">
        <v>9.2460700000000003E-4</v>
      </c>
      <c r="I28" s="3">
        <v>9.23207E-4</v>
      </c>
      <c r="J28" s="3">
        <v>9.2087500000000004E-4</v>
      </c>
      <c r="K28" s="3">
        <v>9.2320800000000001E-4</v>
      </c>
    </row>
    <row r="29" spans="1:11" x14ac:dyDescent="0.25">
      <c r="A29" t="s">
        <v>32</v>
      </c>
      <c r="B29">
        <v>1.6094320000000001E-3</v>
      </c>
      <c r="C29">
        <v>1.52173E-3</v>
      </c>
      <c r="D29">
        <v>1.561383E-3</v>
      </c>
      <c r="E29">
        <v>1.556717E-3</v>
      </c>
      <c r="F29">
        <v>1.533859E-3</v>
      </c>
      <c r="G29">
        <v>1.510534E-3</v>
      </c>
      <c r="H29" s="3">
        <v>9.0128199999999999E-4</v>
      </c>
      <c r="I29">
        <v>1.5259290000000001E-3</v>
      </c>
      <c r="J29">
        <v>1.5646480000000001E-3</v>
      </c>
      <c r="K29">
        <v>1.5245289999999999E-3</v>
      </c>
    </row>
    <row r="31" spans="1:11" x14ac:dyDescent="0.25">
      <c r="A31" t="s">
        <v>40</v>
      </c>
    </row>
    <row r="32" spans="1:11" x14ac:dyDescent="0.25">
      <c r="A32" t="s">
        <v>5</v>
      </c>
      <c r="B32" s="3">
        <v>1.5767799999999999E-4</v>
      </c>
      <c r="C32" s="3">
        <v>1.5161299999999999E-4</v>
      </c>
      <c r="D32" s="3">
        <v>1.3994999999999999E-4</v>
      </c>
      <c r="E32" s="3">
        <v>1.38551E-4</v>
      </c>
      <c r="F32" s="3">
        <v>1.37618E-4</v>
      </c>
      <c r="G32" s="3">
        <v>1.4088300000000001E-4</v>
      </c>
      <c r="H32" s="3">
        <v>1.4228299999999999E-4</v>
      </c>
      <c r="I32" s="3">
        <v>1.41817E-4</v>
      </c>
      <c r="J32" s="3">
        <v>1.4321599999999999E-4</v>
      </c>
      <c r="K32" s="3">
        <v>1.4275E-4</v>
      </c>
    </row>
    <row r="33" spans="1:11" x14ac:dyDescent="0.25">
      <c r="A33" t="s">
        <v>6</v>
      </c>
      <c r="B33" s="3">
        <v>1.66074E-4</v>
      </c>
      <c r="C33" s="3">
        <v>1.47415E-4</v>
      </c>
      <c r="D33" s="3">
        <v>1.47415E-4</v>
      </c>
      <c r="E33" s="3">
        <v>1.48348E-4</v>
      </c>
      <c r="F33" s="3">
        <v>1.5161299999999999E-4</v>
      </c>
      <c r="G33" s="3">
        <v>1.47882E-4</v>
      </c>
      <c r="H33" s="3">
        <v>1.46482E-4</v>
      </c>
      <c r="I33" s="3">
        <v>1.4554800000000001E-4</v>
      </c>
      <c r="J33" s="3">
        <v>1.4414899999999999E-4</v>
      </c>
      <c r="K33" s="3">
        <v>1.4554800000000001E-4</v>
      </c>
    </row>
    <row r="34" spans="1:11" x14ac:dyDescent="0.25">
      <c r="A34" t="s">
        <v>7</v>
      </c>
      <c r="B34" s="3">
        <v>1.07762E-4</v>
      </c>
      <c r="C34" s="3">
        <v>9.7032000000000002E-5</v>
      </c>
      <c r="D34" s="3">
        <v>9.3300000000000005E-5</v>
      </c>
      <c r="E34" s="3">
        <v>9.1434000000000006E-5</v>
      </c>
      <c r="F34" s="3">
        <v>9.4699999999999998E-5</v>
      </c>
      <c r="G34" s="3">
        <v>9.1434999999999994E-5</v>
      </c>
      <c r="H34" s="3">
        <v>9.0501000000000006E-5</v>
      </c>
      <c r="I34" s="3">
        <v>9.1434000000000006E-5</v>
      </c>
      <c r="J34" s="3">
        <v>9.1434999999999994E-5</v>
      </c>
      <c r="K34" s="3">
        <v>9.0501999999999995E-5</v>
      </c>
    </row>
    <row r="35" spans="1:11" x14ac:dyDescent="0.25">
      <c r="A35" t="s">
        <v>8</v>
      </c>
      <c r="B35" s="3">
        <v>1.9546400000000001E-4</v>
      </c>
      <c r="C35" s="3">
        <v>1.89867E-4</v>
      </c>
      <c r="D35" s="3">
        <v>1.79137E-4</v>
      </c>
      <c r="E35" s="3">
        <v>1.78204E-4</v>
      </c>
      <c r="F35" s="3">
        <v>1.78204E-4</v>
      </c>
      <c r="G35" s="3">
        <v>1.77271E-4</v>
      </c>
      <c r="H35" s="3">
        <v>1.7867E-4</v>
      </c>
      <c r="I35" s="3">
        <v>1.8193500000000001E-4</v>
      </c>
      <c r="J35" s="3">
        <v>1.7867100000000001E-4</v>
      </c>
      <c r="K35" s="3">
        <v>1.75871E-4</v>
      </c>
    </row>
    <row r="36" spans="1:11" x14ac:dyDescent="0.25">
      <c r="A36" t="s">
        <v>9</v>
      </c>
      <c r="B36" s="3">
        <v>1.3202E-4</v>
      </c>
      <c r="C36" s="3">
        <v>1.2688900000000001E-4</v>
      </c>
      <c r="D36" s="3">
        <v>1.15226E-4</v>
      </c>
      <c r="E36" s="3">
        <v>1.15226E-4</v>
      </c>
      <c r="F36" s="3">
        <v>1.1569300000000001E-4</v>
      </c>
      <c r="G36" s="3">
        <v>1.15226E-4</v>
      </c>
      <c r="H36" s="3">
        <v>1.14293E-4</v>
      </c>
      <c r="I36" s="3">
        <v>1.1289399999999999E-4</v>
      </c>
      <c r="J36" s="3">
        <v>1.15226E-4</v>
      </c>
      <c r="K36" s="3">
        <v>1.16159E-4</v>
      </c>
    </row>
    <row r="37" spans="1:11" x14ac:dyDescent="0.25">
      <c r="A37" t="s">
        <v>10</v>
      </c>
      <c r="B37" s="3">
        <v>8.7236000000000003E-5</v>
      </c>
      <c r="C37" s="3">
        <v>7.1375E-5</v>
      </c>
      <c r="D37" s="3">
        <v>6.9509000000000001E-5</v>
      </c>
      <c r="E37" s="3">
        <v>7.0908000000000006E-5</v>
      </c>
      <c r="F37" s="3">
        <v>6.9041999999999994E-5</v>
      </c>
      <c r="G37" s="3">
        <v>6.8108999999999995E-5</v>
      </c>
      <c r="H37" s="3">
        <v>6.9509000000000001E-5</v>
      </c>
      <c r="I37" s="3">
        <v>6.8576000000000002E-5</v>
      </c>
      <c r="J37" s="3">
        <v>6.8576000000000002E-5</v>
      </c>
      <c r="K37" s="3">
        <v>6.9974999999999993E-5</v>
      </c>
    </row>
    <row r="38" spans="1:11" x14ac:dyDescent="0.25">
      <c r="A38" t="s">
        <v>11</v>
      </c>
      <c r="B38" s="3">
        <v>1.77737E-4</v>
      </c>
      <c r="C38" s="3">
        <v>1.6187600000000001E-4</v>
      </c>
      <c r="D38" s="3">
        <v>1.6094300000000001E-4</v>
      </c>
      <c r="E38" s="3">
        <v>1.5907700000000001E-4</v>
      </c>
      <c r="F38" s="3">
        <v>1.61877E-4</v>
      </c>
      <c r="G38" s="3">
        <v>1.5861099999999999E-4</v>
      </c>
      <c r="H38" s="3">
        <v>1.5861099999999999E-4</v>
      </c>
      <c r="I38" s="3">
        <v>1.5814400000000001E-4</v>
      </c>
      <c r="J38" s="3">
        <v>1.57212E-4</v>
      </c>
      <c r="K38" s="3">
        <v>1.6747499999999999E-4</v>
      </c>
    </row>
    <row r="39" spans="1:11" x14ac:dyDescent="0.25">
      <c r="A39" t="s">
        <v>12</v>
      </c>
      <c r="B39" s="3">
        <v>1.02631E-4</v>
      </c>
      <c r="C39" s="3">
        <v>9.4699999999999998E-5</v>
      </c>
      <c r="D39" s="3">
        <v>9.2367000000000005E-5</v>
      </c>
      <c r="E39" s="3">
        <v>9.4233000000000004E-5</v>
      </c>
      <c r="F39" s="3">
        <v>9.4234000000000006E-5</v>
      </c>
      <c r="G39" s="3">
        <v>1.01697E-4</v>
      </c>
      <c r="H39" s="3">
        <v>1.07296E-4</v>
      </c>
      <c r="I39" s="3">
        <v>9.9364999999999995E-5</v>
      </c>
      <c r="J39" s="3">
        <v>9.2833999999999999E-5</v>
      </c>
      <c r="K39" s="3">
        <v>9.0501999999999995E-5</v>
      </c>
    </row>
    <row r="40" spans="1:11" x14ac:dyDescent="0.25">
      <c r="A40" t="s">
        <v>13</v>
      </c>
      <c r="B40" s="3">
        <v>2.0526E-4</v>
      </c>
      <c r="C40" s="3">
        <v>1.7867E-4</v>
      </c>
      <c r="D40" s="3">
        <v>1.76338E-4</v>
      </c>
      <c r="E40" s="3">
        <v>1.7726999999999999E-4</v>
      </c>
      <c r="F40" s="3">
        <v>1.7447200000000001E-4</v>
      </c>
      <c r="G40" s="3">
        <v>1.7820299999999999E-4</v>
      </c>
      <c r="H40" s="3">
        <v>1.77737E-4</v>
      </c>
      <c r="I40" s="3">
        <v>1.74005E-4</v>
      </c>
      <c r="J40" s="3">
        <v>1.7447200000000001E-4</v>
      </c>
      <c r="K40" s="3">
        <v>1.75871E-4</v>
      </c>
    </row>
    <row r="41" spans="1:11" x14ac:dyDescent="0.25">
      <c r="A41" t="s">
        <v>14</v>
      </c>
      <c r="B41" s="3">
        <v>2.07593E-4</v>
      </c>
      <c r="C41" s="3">
        <v>1.8007E-4</v>
      </c>
      <c r="D41" s="3">
        <v>1.7867100000000001E-4</v>
      </c>
      <c r="E41" s="3">
        <v>1.7867100000000001E-4</v>
      </c>
      <c r="F41" s="3">
        <v>1.7867E-4</v>
      </c>
      <c r="G41" s="3">
        <v>1.78204E-4</v>
      </c>
      <c r="H41" s="3">
        <v>1.77737E-4</v>
      </c>
      <c r="I41" s="3">
        <v>1.7820299999999999E-4</v>
      </c>
      <c r="J41" s="3">
        <v>1.7773800000000001E-4</v>
      </c>
      <c r="K41" s="3">
        <v>1.76804E-4</v>
      </c>
    </row>
    <row r="42" spans="1:11" x14ac:dyDescent="0.25">
      <c r="A42" t="s">
        <v>15</v>
      </c>
      <c r="B42" s="3">
        <v>3.0415900000000003E-4</v>
      </c>
      <c r="C42" s="3">
        <v>2.9482999999999999E-4</v>
      </c>
      <c r="D42" s="3">
        <v>2.8596600000000002E-4</v>
      </c>
      <c r="E42" s="3">
        <v>2.8269999999999999E-4</v>
      </c>
      <c r="F42" s="3">
        <v>2.8503300000000002E-4</v>
      </c>
      <c r="G42" s="3">
        <v>2.8969800000000002E-4</v>
      </c>
      <c r="H42" s="3">
        <v>2.8176699999999999E-4</v>
      </c>
      <c r="I42" s="3">
        <v>2.8083399999999999E-4</v>
      </c>
      <c r="J42" s="3">
        <v>2.92031E-4</v>
      </c>
      <c r="K42" s="3">
        <v>2.8223400000000002E-4</v>
      </c>
    </row>
    <row r="43" spans="1:11" x14ac:dyDescent="0.25">
      <c r="A43" t="s">
        <v>16</v>
      </c>
      <c r="B43" s="3">
        <v>3.08358E-4</v>
      </c>
      <c r="C43" s="3">
        <v>2.9063E-4</v>
      </c>
      <c r="D43" s="3">
        <v>2.9249700000000002E-4</v>
      </c>
      <c r="E43" s="3">
        <v>2.9063100000000002E-4</v>
      </c>
      <c r="F43" s="3">
        <v>2.9156400000000002E-4</v>
      </c>
      <c r="G43" s="3">
        <v>2.7103799999999998E-4</v>
      </c>
      <c r="H43" s="3">
        <v>2.92031E-4</v>
      </c>
      <c r="I43" s="3">
        <v>2.9016399999999998E-4</v>
      </c>
      <c r="J43" s="3">
        <v>2.9109699999999998E-4</v>
      </c>
      <c r="K43" s="3">
        <v>2.9202999999999998E-4</v>
      </c>
    </row>
    <row r="44" spans="1:11" x14ac:dyDescent="0.25">
      <c r="A44" t="s">
        <v>17</v>
      </c>
      <c r="B44" s="3">
        <v>2.61241E-4</v>
      </c>
      <c r="C44" s="3">
        <v>2.4631300000000001E-4</v>
      </c>
      <c r="D44" s="3">
        <v>2.3698400000000001E-4</v>
      </c>
      <c r="E44" s="3">
        <v>2.3744900000000001E-4</v>
      </c>
      <c r="F44" s="3">
        <v>2.38383E-4</v>
      </c>
      <c r="G44" s="3">
        <v>2.36517E-4</v>
      </c>
      <c r="H44" s="3">
        <v>2.3511699999999999E-4</v>
      </c>
      <c r="I44" s="3">
        <v>2.35584E-4</v>
      </c>
      <c r="J44" s="3">
        <v>2.34651E-4</v>
      </c>
      <c r="K44" s="3">
        <v>2.3511699999999999E-4</v>
      </c>
    </row>
    <row r="45" spans="1:11" x14ac:dyDescent="0.25">
      <c r="A45" t="s">
        <v>18</v>
      </c>
      <c r="B45" s="3">
        <v>3.4801E-4</v>
      </c>
      <c r="C45" s="3">
        <v>3.2701799999999999E-4</v>
      </c>
      <c r="D45" s="3">
        <v>3.2328599999999999E-4</v>
      </c>
      <c r="E45" s="3">
        <v>3.2608499999999999E-4</v>
      </c>
      <c r="F45" s="3">
        <v>3.2468500000000001E-4</v>
      </c>
      <c r="G45" s="3">
        <v>3.2375200000000001E-4</v>
      </c>
      <c r="H45" s="3">
        <v>3.2328599999999999E-4</v>
      </c>
      <c r="I45" s="3">
        <v>3.22353E-4</v>
      </c>
      <c r="J45" s="3">
        <v>3.2281999999999998E-4</v>
      </c>
      <c r="K45" s="3">
        <v>3.22353E-4</v>
      </c>
    </row>
    <row r="46" spans="1:11" x14ac:dyDescent="0.25">
      <c r="A46" t="s">
        <v>19</v>
      </c>
      <c r="B46" s="3">
        <v>2.5144399999999997E-4</v>
      </c>
      <c r="C46" s="3">
        <v>2.4258099999999999E-4</v>
      </c>
      <c r="D46" s="3">
        <v>2.3325099999999999E-4</v>
      </c>
      <c r="E46" s="3">
        <v>2.2812E-4</v>
      </c>
      <c r="F46" s="3">
        <v>2.2811899999999999E-4</v>
      </c>
      <c r="G46" s="3">
        <v>2.3651600000000001E-4</v>
      </c>
      <c r="H46" s="3">
        <v>2.34651E-4</v>
      </c>
      <c r="I46" s="3">
        <v>2.3325099999999999E-4</v>
      </c>
      <c r="J46" s="3">
        <v>2.3651600000000001E-4</v>
      </c>
      <c r="K46" s="3">
        <v>2.3651600000000001E-4</v>
      </c>
    </row>
    <row r="47" spans="1:11" x14ac:dyDescent="0.25">
      <c r="A47" t="s">
        <v>20</v>
      </c>
      <c r="B47" s="3">
        <v>2.6077400000000002E-4</v>
      </c>
      <c r="C47" s="3">
        <v>2.4444700000000001E-4</v>
      </c>
      <c r="D47" s="3">
        <v>2.4164799999999999E-4</v>
      </c>
      <c r="E47" s="3">
        <v>2.4118100000000001E-4</v>
      </c>
      <c r="F47" s="3">
        <v>2.41182E-4</v>
      </c>
      <c r="G47" s="3">
        <v>2.42115E-4</v>
      </c>
      <c r="H47" s="3">
        <v>2.3978199999999999E-4</v>
      </c>
      <c r="I47" s="3">
        <v>2.39316E-4</v>
      </c>
      <c r="J47" s="3">
        <v>2.4584599999999998E-4</v>
      </c>
      <c r="K47" s="3">
        <v>2.3931500000000001E-4</v>
      </c>
    </row>
    <row r="48" spans="1:11" x14ac:dyDescent="0.25">
      <c r="A48" t="s">
        <v>21</v>
      </c>
      <c r="B48" s="3">
        <v>3.7086900000000002E-4</v>
      </c>
      <c r="C48" s="3">
        <v>3.5034299999999998E-4</v>
      </c>
      <c r="D48" s="3">
        <v>3.5034299999999998E-4</v>
      </c>
      <c r="E48" s="3">
        <v>3.5687400000000003E-4</v>
      </c>
      <c r="F48" s="3">
        <v>3.4661099999999998E-4</v>
      </c>
      <c r="G48" s="3">
        <v>3.5267499999999999E-4</v>
      </c>
      <c r="H48" s="3">
        <v>3.4754399999999998E-4</v>
      </c>
      <c r="I48" s="3">
        <v>3.4754399999999998E-4</v>
      </c>
      <c r="J48" s="3">
        <v>3.4847799999999999E-4</v>
      </c>
      <c r="K48" s="3">
        <v>3.4940999999999998E-4</v>
      </c>
    </row>
    <row r="49" spans="1:11" x14ac:dyDescent="0.25">
      <c r="A49" t="s">
        <v>22</v>
      </c>
      <c r="B49" s="3">
        <v>3.0042799999999999E-4</v>
      </c>
      <c r="C49" s="3">
        <v>2.8223300000000001E-4</v>
      </c>
      <c r="D49" s="3">
        <v>2.9156400000000002E-4</v>
      </c>
      <c r="E49" s="3">
        <v>2.8316700000000002E-4</v>
      </c>
      <c r="F49" s="3">
        <v>2.8130100000000002E-4</v>
      </c>
      <c r="G49" s="3">
        <v>2.7990099999999999E-4</v>
      </c>
      <c r="H49" s="3">
        <v>2.7990099999999999E-4</v>
      </c>
      <c r="I49" s="3">
        <v>2.8083399999999999E-4</v>
      </c>
      <c r="J49" s="3">
        <v>2.8036800000000002E-4</v>
      </c>
      <c r="K49" s="3">
        <v>2.8316700000000002E-4</v>
      </c>
    </row>
    <row r="50" spans="1:11" x14ac:dyDescent="0.25">
      <c r="A50" t="s">
        <v>23</v>
      </c>
      <c r="B50" s="3">
        <v>6.7643000000000003E-5</v>
      </c>
      <c r="C50" s="3">
        <v>2.2391999999999998E-5</v>
      </c>
      <c r="D50" s="3">
        <v>1.5395000000000001E-5</v>
      </c>
      <c r="E50" s="3">
        <v>1.3528E-5</v>
      </c>
      <c r="F50" s="3">
        <v>1.2129E-5</v>
      </c>
      <c r="G50" s="3">
        <v>1.3995000000000001E-5</v>
      </c>
      <c r="H50" s="3">
        <v>1.2595999999999999E-5</v>
      </c>
      <c r="I50" s="3">
        <v>1.2129E-5</v>
      </c>
      <c r="J50" s="3">
        <v>1.1661999999999999E-5</v>
      </c>
      <c r="K50" s="3">
        <v>1.2129E-5</v>
      </c>
    </row>
    <row r="51" spans="1:11" x14ac:dyDescent="0.25">
      <c r="A51" t="s">
        <v>24</v>
      </c>
      <c r="B51" s="3">
        <v>4.0865600000000003E-4</v>
      </c>
      <c r="C51" s="3">
        <v>4.11922E-4</v>
      </c>
      <c r="D51" s="3">
        <v>4.0305799999999998E-4</v>
      </c>
      <c r="E51" s="3">
        <v>4.0585600000000001E-4</v>
      </c>
      <c r="F51" s="3">
        <v>3.97926E-4</v>
      </c>
      <c r="G51">
        <v>1.6206289999999999E-3</v>
      </c>
      <c r="H51" s="3">
        <v>4.0772300000000003E-4</v>
      </c>
      <c r="I51" s="3">
        <v>4.3384700000000001E-4</v>
      </c>
      <c r="J51" s="3">
        <v>4.3571300000000001E-4</v>
      </c>
      <c r="K51" s="3">
        <v>4.3664600000000001E-4</v>
      </c>
    </row>
    <row r="52" spans="1:11" x14ac:dyDescent="0.25">
      <c r="A52" t="s">
        <v>25</v>
      </c>
      <c r="B52" s="3">
        <v>3.4847699999999998E-4</v>
      </c>
      <c r="C52" s="3">
        <v>3.2981699999999999E-4</v>
      </c>
      <c r="D52" s="3">
        <v>3.2888399999999999E-4</v>
      </c>
      <c r="E52" s="3">
        <v>3.3821399999999998E-4</v>
      </c>
      <c r="F52" s="3">
        <v>3.5454099999999999E-4</v>
      </c>
      <c r="G52" s="3">
        <v>3.4940999999999998E-4</v>
      </c>
      <c r="H52" s="3">
        <v>3.5174300000000001E-4</v>
      </c>
      <c r="I52" s="3">
        <v>3.5454200000000001E-4</v>
      </c>
      <c r="J52" s="3">
        <v>3.42412E-4</v>
      </c>
      <c r="K52" s="3">
        <v>3.4054700000000002E-4</v>
      </c>
    </row>
    <row r="53" spans="1:11" x14ac:dyDescent="0.25">
      <c r="A53" t="s">
        <v>26</v>
      </c>
      <c r="B53" s="3">
        <v>5.8592699999999998E-4</v>
      </c>
      <c r="C53" s="3">
        <v>5.7659699999999998E-4</v>
      </c>
      <c r="D53" s="3">
        <v>5.8919199999999999E-4</v>
      </c>
      <c r="E53" s="3">
        <v>5.83594E-4</v>
      </c>
      <c r="F53" s="3">
        <v>5.5793699999999999E-4</v>
      </c>
      <c r="G53" s="3">
        <v>5.5840299999999996E-4</v>
      </c>
      <c r="H53" s="3">
        <v>5.8405999999999996E-4</v>
      </c>
      <c r="I53" s="3">
        <v>5.8359500000000001E-4</v>
      </c>
      <c r="J53" s="3">
        <v>5.8126200000000003E-4</v>
      </c>
      <c r="K53" s="3">
        <v>5.81728E-4</v>
      </c>
    </row>
    <row r="54" spans="1:11" x14ac:dyDescent="0.25">
      <c r="A54" t="s">
        <v>27</v>
      </c>
      <c r="B54" s="3">
        <v>6.7736100000000002E-4</v>
      </c>
      <c r="C54" s="3">
        <v>6.5963399999999998E-4</v>
      </c>
      <c r="D54" s="3">
        <v>6.57301E-4</v>
      </c>
      <c r="E54" s="3">
        <v>6.5870100000000003E-4</v>
      </c>
      <c r="F54" s="3">
        <v>6.5683500000000004E-4</v>
      </c>
      <c r="G54" s="3">
        <v>6.5683500000000004E-4</v>
      </c>
      <c r="H54" s="3">
        <v>6.7409600000000001E-4</v>
      </c>
      <c r="I54" s="3">
        <v>6.6849800000000001E-4</v>
      </c>
      <c r="J54" s="3">
        <v>6.6010099999999996E-4</v>
      </c>
      <c r="K54" s="3">
        <v>6.6429900000000003E-4</v>
      </c>
    </row>
    <row r="55" spans="1:11" x14ac:dyDescent="0.25">
      <c r="A55" t="s">
        <v>28</v>
      </c>
      <c r="B55" s="3">
        <v>5.3414499999999998E-4</v>
      </c>
      <c r="C55" s="3">
        <v>5.1221899999999996E-4</v>
      </c>
      <c r="D55" s="3">
        <v>5.1455200000000004E-4</v>
      </c>
      <c r="E55" s="3">
        <v>5.1175299999999999E-4</v>
      </c>
      <c r="F55" s="3">
        <v>5.1455200000000004E-4</v>
      </c>
      <c r="G55" s="3">
        <v>5.1175299999999999E-4</v>
      </c>
      <c r="H55" s="3">
        <v>5.1175299999999999E-4</v>
      </c>
      <c r="I55" s="3">
        <v>5.0988599999999998E-4</v>
      </c>
      <c r="J55" s="3">
        <v>5.1921699999999999E-4</v>
      </c>
      <c r="K55" s="3">
        <v>5.0942100000000003E-4</v>
      </c>
    </row>
    <row r="56" spans="1:11" x14ac:dyDescent="0.25">
      <c r="A56" t="s">
        <v>29</v>
      </c>
      <c r="B56" s="3">
        <v>5.6260200000000005E-4</v>
      </c>
      <c r="C56" s="3">
        <v>5.81728E-4</v>
      </c>
      <c r="D56" s="3">
        <v>5.4160899999999997E-4</v>
      </c>
      <c r="E56" s="3">
        <v>5.3974299999999997E-4</v>
      </c>
      <c r="F56" s="3">
        <v>5.3927599999999999E-4</v>
      </c>
      <c r="G56" s="3">
        <v>5.4814000000000002E-4</v>
      </c>
      <c r="H56" s="3">
        <v>5.4767300000000004E-4</v>
      </c>
      <c r="I56" s="3">
        <v>5.4487399999999999E-4</v>
      </c>
      <c r="J56" s="3">
        <v>5.46741E-4</v>
      </c>
      <c r="K56" s="3">
        <v>5.44875E-4</v>
      </c>
    </row>
    <row r="57" spans="1:11" x14ac:dyDescent="0.25">
      <c r="A57" t="s">
        <v>30</v>
      </c>
      <c r="B57" s="3">
        <v>6.6290000000000001E-4</v>
      </c>
      <c r="C57" s="3">
        <v>6.3817500000000005E-4</v>
      </c>
      <c r="D57" s="3">
        <v>6.37242E-4</v>
      </c>
      <c r="E57" s="3">
        <v>6.4050700000000001E-4</v>
      </c>
      <c r="F57" s="3">
        <v>6.3770899999999998E-4</v>
      </c>
      <c r="G57" s="3">
        <v>6.3817500000000005E-4</v>
      </c>
      <c r="H57" s="3">
        <v>6.3490900000000002E-4</v>
      </c>
      <c r="I57" s="3">
        <v>6.3910799999999999E-4</v>
      </c>
      <c r="J57" s="3">
        <v>6.3957499999999997E-4</v>
      </c>
      <c r="K57" s="3">
        <v>6.4237300000000001E-4</v>
      </c>
    </row>
    <row r="58" spans="1:11" x14ac:dyDescent="0.25">
      <c r="A58" t="s">
        <v>31</v>
      </c>
      <c r="B58" s="3">
        <v>7.0861700000000004E-4</v>
      </c>
      <c r="C58" s="3">
        <v>6.8715699999999998E-4</v>
      </c>
      <c r="D58" s="3">
        <v>6.85292E-4</v>
      </c>
      <c r="E58" s="3">
        <v>6.9182300000000005E-4</v>
      </c>
      <c r="F58" s="3">
        <v>6.8902399999999999E-4</v>
      </c>
      <c r="G58" s="3">
        <v>7.0021899999999997E-4</v>
      </c>
      <c r="H58" s="3">
        <v>7.03485E-4</v>
      </c>
      <c r="I58" s="3">
        <v>6.9602100000000001E-4</v>
      </c>
      <c r="J58" s="3">
        <v>7.0488500000000004E-4</v>
      </c>
      <c r="K58" s="3">
        <v>6.8622500000000005E-4</v>
      </c>
    </row>
    <row r="59" spans="1:11" x14ac:dyDescent="0.25">
      <c r="A59" t="s">
        <v>32</v>
      </c>
      <c r="B59" s="3">
        <v>6.5403599999999998E-4</v>
      </c>
      <c r="C59" s="3">
        <v>6.3770799999999996E-4</v>
      </c>
      <c r="D59" s="3">
        <v>6.3677500000000001E-4</v>
      </c>
      <c r="E59" s="3">
        <v>6.4004100000000005E-4</v>
      </c>
      <c r="F59" s="3">
        <v>6.3117800000000003E-4</v>
      </c>
      <c r="G59" s="3">
        <v>6.35376E-4</v>
      </c>
      <c r="H59" s="3">
        <v>6.3024399999999996E-4</v>
      </c>
      <c r="I59" s="3">
        <v>6.2837799999999997E-4</v>
      </c>
      <c r="J59" s="3">
        <v>6.4470599999999999E-4</v>
      </c>
      <c r="K59" s="3">
        <v>6.4657199999999999E-4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4</vt:i4>
      </vt:variant>
    </vt:vector>
  </HeadingPairs>
  <TitlesOfParts>
    <vt:vector size="9" baseType="lpstr">
      <vt:lpstr>refined_data</vt:lpstr>
      <vt:lpstr>blocksworld</vt:lpstr>
      <vt:lpstr>depots</vt:lpstr>
      <vt:lpstr>gripper</vt:lpstr>
      <vt:lpstr>logistics</vt:lpstr>
      <vt:lpstr>blocksworld!blocksworld</vt:lpstr>
      <vt:lpstr>depots!depots</vt:lpstr>
      <vt:lpstr>gripper!gripper</vt:lpstr>
      <vt:lpstr>logistics!logistics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Grasta</dc:creator>
  <cp:lastModifiedBy>Grasta</cp:lastModifiedBy>
  <dcterms:created xsi:type="dcterms:W3CDTF">2017-11-26T09:49:49Z</dcterms:created>
  <dcterms:modified xsi:type="dcterms:W3CDTF">2017-12-05T23:51:35Z</dcterms:modified>
</cp:coreProperties>
</file>